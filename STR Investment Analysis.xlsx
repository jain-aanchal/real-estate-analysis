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tions" sheetId="1" state="visible" r:id="rId1"/>
    <sheet name="template" sheetId="2" state="visible" r:id="rId2"/>
    <sheet name="Offer Price Analy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&quot;$&quot;#,##0.00"/>
    <numFmt numFmtId="167" formatCode="$#,##0"/>
    <numFmt numFmtId="168" formatCode="0.0%"/>
  </numFmts>
  <fonts count="29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rgb="FFFFFF00"/>
      <sz val="14"/>
    </font>
    <font>
      <name val="Arial"/>
      <b val="1"/>
      <color theme="1"/>
      <sz val="14"/>
      <scheme val="minor"/>
    </font>
    <font>
      <name val="Arial"/>
      <b val="1"/>
      <i val="1"/>
      <color theme="1"/>
      <sz val="12"/>
      <scheme val="minor"/>
    </font>
    <font/>
    <font>
      <name val="Arial"/>
      <color theme="1"/>
      <sz val="12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name val="Arial"/>
      <b val="1"/>
      <i val="1"/>
      <color theme="1"/>
      <sz val="12"/>
    </font>
    <font>
      <name val="Arial"/>
      <b val="1"/>
      <color theme="1"/>
    </font>
    <font>
      <name val="Arial"/>
      <color theme="1"/>
    </font>
    <font>
      <b val="1"/>
      <color rgb="FF0000FF"/>
      <sz val="14"/>
      <u val="single"/>
    </font>
    <font>
      <name val="Arial"/>
      <b val="1"/>
      <color theme="1"/>
      <u val="single"/>
      <scheme val="minor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FF0000"/>
      <sz val="11"/>
    </font>
    <font>
      <name val="Arial"/>
      <b val="1"/>
      <color rgb="00008000"/>
      <sz val="11"/>
    </font>
    <font>
      <name val="Arial"/>
      <b val="1"/>
      <color rgb="00FF0000"/>
      <sz val="12"/>
    </font>
    <font>
      <name val="Arial"/>
      <b val="1"/>
      <color rgb="004472C4"/>
      <sz val="16"/>
    </font>
    <font>
      <name val="Arial"/>
      <sz val="10"/>
    </font>
    <font>
      <name val="Arial"/>
      <color rgb="00333333"/>
      <sz val="10"/>
    </font>
  </fonts>
  <fills count="11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00FFFF00"/>
      </patternFill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5" fillId="0" borderId="2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3" applyAlignment="1" pivotButton="0" quotePrefix="0" xfId="0">
      <alignment horizontal="center" wrapText="1"/>
    </xf>
    <xf numFmtId="0" fontId="5" fillId="0" borderId="4" pivotButton="0" quotePrefix="0" xfId="0"/>
    <xf numFmtId="0" fontId="5" fillId="0" borderId="5" pivotButton="0" quotePrefix="0" xfId="0"/>
    <xf numFmtId="0" fontId="1" fillId="0" borderId="0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164" fontId="7" fillId="6" borderId="7" pivotButton="0" quotePrefix="0" xfId="0"/>
    <xf numFmtId="165" fontId="7" fillId="6" borderId="7" pivotButton="0" quotePrefix="0" xfId="0"/>
    <xf numFmtId="0" fontId="1" fillId="0" borderId="6" applyAlignment="1" pivotButton="0" quotePrefix="0" xfId="0">
      <alignment horizontal="right" wrapText="1"/>
    </xf>
    <xf numFmtId="0" fontId="1" fillId="0" borderId="6" pivotButton="0" quotePrefix="0" xfId="0"/>
    <xf numFmtId="164" fontId="7" fillId="0" borderId="7" pivotButton="0" quotePrefix="0" xfId="0"/>
    <xf numFmtId="0" fontId="8" fillId="0" borderId="8" applyAlignment="1" pivotButton="0" quotePrefix="0" xfId="0">
      <alignment horizontal="left"/>
    </xf>
    <xf numFmtId="10" fontId="6" fillId="0" borderId="9" pivotButton="0" quotePrefix="0" xfId="0"/>
    <xf numFmtId="0" fontId="7" fillId="0" borderId="6" pivotButton="0" quotePrefix="0" xfId="0"/>
    <xf numFmtId="0" fontId="7" fillId="0" borderId="0" pivotButton="0" quotePrefix="0" xfId="0"/>
    <xf numFmtId="0" fontId="7" fillId="0" borderId="7" pivotButton="0" quotePrefix="0" xfId="0"/>
    <xf numFmtId="9" fontId="7" fillId="6" borderId="7" pivotButton="0" quotePrefix="0" xfId="0"/>
    <xf numFmtId="0" fontId="7" fillId="0" borderId="7" pivotButton="0" quotePrefix="0" xfId="0"/>
    <xf numFmtId="0" fontId="8" fillId="0" borderId="10" applyAlignment="1" pivotButton="0" quotePrefix="0" xfId="0">
      <alignment horizontal="left"/>
    </xf>
    <xf numFmtId="0" fontId="5" fillId="0" borderId="11" pivotButton="0" quotePrefix="0" xfId="0"/>
    <xf numFmtId="0" fontId="7" fillId="0" borderId="6" applyAlignment="1" pivotButton="0" quotePrefix="0" xfId="0">
      <alignment wrapText="1"/>
    </xf>
    <xf numFmtId="164" fontId="7" fillId="0" borderId="0" pivotButton="0" quotePrefix="0" xfId="0"/>
    <xf numFmtId="164" fontId="7" fillId="0" borderId="0" pivotButton="0" quotePrefix="0" xfId="0"/>
    <xf numFmtId="164" fontId="7" fillId="0" borderId="7" pivotButton="0" quotePrefix="0" xfId="0"/>
    <xf numFmtId="0" fontId="1" fillId="0" borderId="8" applyAlignment="1" pivotButton="0" quotePrefix="0" xfId="0">
      <alignment wrapText="1"/>
    </xf>
    <xf numFmtId="0" fontId="7" fillId="0" borderId="9" pivotButton="0" quotePrefix="0" xfId="0"/>
    <xf numFmtId="0" fontId="1" fillId="0" borderId="8" pivotButton="0" quotePrefix="0" xfId="0"/>
    <xf numFmtId="10" fontId="7" fillId="0" borderId="9" pivotButton="0" quotePrefix="0" xfId="0"/>
    <xf numFmtId="164" fontId="7" fillId="0" borderId="9" pivotButton="0" quotePrefix="0" xfId="0"/>
    <xf numFmtId="0" fontId="7" fillId="0" borderId="8" applyAlignment="1" pivotButton="0" quotePrefix="0" xfId="0">
      <alignment wrapText="1"/>
    </xf>
    <xf numFmtId="164" fontId="7" fillId="0" borderId="12" pivotButton="0" quotePrefix="0" xfId="0"/>
    <xf numFmtId="0" fontId="1" fillId="0" borderId="0" applyAlignment="1" pivotButton="0" quotePrefix="0" xfId="0">
      <alignment wrapText="1"/>
    </xf>
    <xf numFmtId="165" fontId="7" fillId="0" borderId="7" pivotButton="0" quotePrefix="0" xfId="0"/>
    <xf numFmtId="0" fontId="7" fillId="0" borderId="0" applyAlignment="1" pivotButton="0" quotePrefix="0" xfId="0">
      <alignment wrapText="1"/>
    </xf>
    <xf numFmtId="0" fontId="7" fillId="0" borderId="6" pivotButton="0" quotePrefix="0" xfId="0"/>
    <xf numFmtId="0" fontId="7" fillId="6" borderId="7" pivotButton="0" quotePrefix="0" xfId="0"/>
    <xf numFmtId="0" fontId="8" fillId="0" borderId="8" pivotButton="0" quotePrefix="0" xfId="0"/>
    <xf numFmtId="0" fontId="1" fillId="0" borderId="0" pivotButton="0" quotePrefix="0" xfId="0"/>
    <xf numFmtId="0" fontId="1" fillId="0" borderId="10" applyAlignment="1" pivotButton="0" quotePrefix="0" xfId="0">
      <alignment wrapText="1"/>
    </xf>
    <xf numFmtId="164" fontId="7" fillId="6" borderId="11" pivotButton="0" quotePrefix="0" xfId="0"/>
    <xf numFmtId="0" fontId="1" fillId="0" borderId="1" applyAlignment="1" pivotButton="0" quotePrefix="0" xfId="0">
      <alignment wrapText="1"/>
    </xf>
    <xf numFmtId="164" fontId="7" fillId="0" borderId="2" pivotButton="0" quotePrefix="0" xfId="0"/>
    <xf numFmtId="0" fontId="9" fillId="3" borderId="1" applyAlignment="1" pivotButton="0" quotePrefix="0" xfId="0">
      <alignment horizontal="center" vertical="bottom"/>
    </xf>
    <xf numFmtId="0" fontId="10" fillId="0" borderId="6" applyAlignment="1" pivotButton="0" quotePrefix="0" xfId="0">
      <alignment vertical="bottom" wrapText="1"/>
    </xf>
    <xf numFmtId="165" fontId="11" fillId="6" borderId="7" applyAlignment="1" pivotButton="0" quotePrefix="0" xfId="0">
      <alignment horizontal="right" vertical="bottom"/>
    </xf>
    <xf numFmtId="0" fontId="7" fillId="0" borderId="8" pivotButton="0" quotePrefix="0" xfId="0"/>
    <xf numFmtId="165" fontId="7" fillId="0" borderId="9" pivotButton="0" quotePrefix="0" xfId="0"/>
    <xf numFmtId="9" fontId="7" fillId="0" borderId="7" pivotButton="0" quotePrefix="0" xfId="0"/>
    <xf numFmtId="0" fontId="7" fillId="0" borderId="0" applyAlignment="1" pivotButton="0" quotePrefix="0" xfId="0">
      <alignment wrapText="1"/>
    </xf>
    <xf numFmtId="0" fontId="12" fillId="6" borderId="13" applyAlignment="1" pivotButton="0" quotePrefix="0" xfId="0">
      <alignment horizontal="center" wrapText="1"/>
    </xf>
    <xf numFmtId="0" fontId="5" fillId="0" borderId="14" pivotButton="0" quotePrefix="0" xfId="0"/>
    <xf numFmtId="0" fontId="10" fillId="0" borderId="6" applyAlignment="1" pivotButton="0" quotePrefix="0" xfId="0">
      <alignment vertical="bottom" wrapText="1"/>
    </xf>
    <xf numFmtId="9" fontId="11" fillId="6" borderId="7" applyAlignment="1" pivotButton="0" quotePrefix="0" xfId="0">
      <alignment horizontal="right" vertical="bottom"/>
    </xf>
    <xf numFmtId="0" fontId="10" fillId="0" borderId="8" applyAlignment="1" pivotButton="0" quotePrefix="0" xfId="0">
      <alignment vertical="bottom" wrapText="1"/>
    </xf>
    <xf numFmtId="0" fontId="11" fillId="0" borderId="9" applyAlignment="1" pivotButton="0" quotePrefix="0" xfId="0">
      <alignment horizontal="right" vertical="bottom"/>
    </xf>
    <xf numFmtId="0" fontId="1" fillId="7" borderId="6" applyAlignment="1" pivotButton="0" quotePrefix="0" xfId="0">
      <alignment horizontal="right" wrapText="1"/>
    </xf>
    <xf numFmtId="164" fontId="11" fillId="0" borderId="7" applyAlignment="1" pivotButton="0" quotePrefix="0" xfId="0">
      <alignment horizontal="right" vertical="bottom"/>
    </xf>
    <xf numFmtId="0" fontId="1" fillId="0" borderId="6" applyAlignment="1" pivotButton="0" quotePrefix="0" xfId="0">
      <alignment horizontal="right"/>
    </xf>
    <xf numFmtId="164" fontId="11" fillId="0" borderId="9" applyAlignment="1" pivotButton="0" quotePrefix="0" xfId="0">
      <alignment horizontal="right" vertical="bottom"/>
    </xf>
    <xf numFmtId="0" fontId="1" fillId="0" borderId="8" applyAlignment="1" pivotButton="0" quotePrefix="0" xfId="0">
      <alignment horizontal="right" wrapText="1"/>
    </xf>
    <xf numFmtId="0" fontId="13" fillId="3" borderId="0" applyAlignment="1" pivotButton="0" quotePrefix="0" xfId="0">
      <alignment horizontal="center"/>
    </xf>
    <xf numFmtId="0" fontId="7" fillId="0" borderId="15" pivotButton="0" quotePrefix="0" xfId="0"/>
    <xf numFmtId="0" fontId="1" fillId="0" borderId="3" applyAlignment="1" pivotButton="0" quotePrefix="0" xfId="0">
      <alignment horizontal="right"/>
    </xf>
    <xf numFmtId="165" fontId="7" fillId="0" borderId="5" pivotButton="0" quotePrefix="0" xfId="0"/>
    <xf numFmtId="0" fontId="1" fillId="0" borderId="8" applyAlignment="1" pivotButton="0" quotePrefix="0" xfId="0">
      <alignment horizontal="right"/>
    </xf>
    <xf numFmtId="0" fontId="7" fillId="0" borderId="15" applyAlignment="1" pivotButton="0" quotePrefix="0" xfId="0">
      <alignment wrapText="1"/>
    </xf>
    <xf numFmtId="166" fontId="7" fillId="0" borderId="15" pivotButton="0" quotePrefix="0" xfId="0"/>
    <xf numFmtId="0" fontId="0" fillId="0" borderId="0" pivotButton="0" quotePrefix="0" xfId="0"/>
    <xf numFmtId="0" fontId="26" fillId="0" borderId="0" pivotButton="0" quotePrefix="0" xfId="0"/>
    <xf numFmtId="0" fontId="20" fillId="0" borderId="0" pivotButton="0" quotePrefix="0" xfId="0"/>
    <xf numFmtId="0" fontId="27" fillId="0" borderId="0" pivotButton="0" quotePrefix="0" xfId="0"/>
    <xf numFmtId="0" fontId="19" fillId="0" borderId="0" pivotButton="0" quotePrefix="0" xfId="0"/>
    <xf numFmtId="0" fontId="28" fillId="0" borderId="0" pivotButton="0" quotePrefix="0" xfId="0"/>
    <xf numFmtId="0" fontId="4" fillId="3" borderId="16" applyAlignment="1" pivotButton="0" quotePrefix="0" xfId="0">
      <alignment horizontal="center" wrapText="1"/>
    </xf>
    <xf numFmtId="0" fontId="0" fillId="0" borderId="2" pivotButton="0" quotePrefix="0" xfId="0"/>
    <xf numFmtId="0" fontId="4" fillId="3" borderId="16" applyAlignment="1" pivotButton="0" quotePrefix="0" xfId="0">
      <alignment horizontal="center"/>
    </xf>
    <xf numFmtId="0" fontId="4" fillId="4" borderId="16" applyAlignment="1" pivotButton="0" quotePrefix="0" xfId="0">
      <alignment horizontal="center"/>
    </xf>
    <xf numFmtId="0" fontId="4" fillId="5" borderId="17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167" fontId="14" fillId="8" borderId="21" pivotButton="0" quotePrefix="0" xfId="0"/>
    <xf numFmtId="167" fontId="15" fillId="6" borderId="21" pivotButton="0" quotePrefix="0" xfId="0"/>
    <xf numFmtId="168" fontId="14" fillId="8" borderId="21" pivotButton="0" quotePrefix="0" xfId="0"/>
    <xf numFmtId="168" fontId="14" fillId="6" borderId="21" pivotButton="0" quotePrefix="0" xfId="0"/>
    <xf numFmtId="167" fontId="14" fillId="6" borderId="21" pivotButton="0" quotePrefix="0" xfId="0"/>
    <xf numFmtId="0" fontId="8" fillId="0" borderId="20" applyAlignment="1" pivotButton="0" quotePrefix="0" xfId="0">
      <alignment horizontal="left"/>
    </xf>
    <xf numFmtId="0" fontId="0" fillId="0" borderId="11" pivotButton="0" quotePrefix="0" xfId="0"/>
    <xf numFmtId="3" fontId="14" fillId="8" borderId="21" pivotButton="0" quotePrefix="0" xfId="0"/>
    <xf numFmtId="0" fontId="9" fillId="3" borderId="16" applyAlignment="1" pivotButton="0" quotePrefix="0" xfId="0">
      <alignment horizontal="center" vertical="bottom"/>
    </xf>
    <xf numFmtId="167" fontId="14" fillId="8" borderId="21" applyAlignment="1" pivotButton="0" quotePrefix="0" xfId="0">
      <alignment horizontal="right" vertical="bottom"/>
    </xf>
    <xf numFmtId="0" fontId="12" fillId="6" borderId="15" applyAlignment="1" pivotButton="0" quotePrefix="0" xfId="0">
      <alignment horizontal="center" wrapText="1"/>
    </xf>
    <xf numFmtId="0" fontId="0" fillId="0" borderId="14" pivotButton="0" quotePrefix="0" xfId="0"/>
    <xf numFmtId="168" fontId="14" fillId="6" borderId="21" applyAlignment="1" pivotButton="0" quotePrefix="0" xfId="0">
      <alignment horizontal="right" vertical="bottom"/>
    </xf>
    <xf numFmtId="0" fontId="16" fillId="9" borderId="21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17" fillId="10" borderId="21" pivotButton="0" quotePrefix="0" xfId="0"/>
    <xf numFmtId="0" fontId="18" fillId="9" borderId="21" pivotButton="0" quotePrefix="0" xfId="0"/>
    <xf numFmtId="0" fontId="19" fillId="0" borderId="21" pivotButton="0" quotePrefix="0" xfId="0"/>
    <xf numFmtId="167" fontId="14" fillId="0" borderId="21" pivotButton="0" quotePrefix="0" xfId="0"/>
    <xf numFmtId="0" fontId="20" fillId="0" borderId="21" pivotButton="0" quotePrefix="0" xfId="0"/>
    <xf numFmtId="0" fontId="21" fillId="0" borderId="21" pivotButton="0" quotePrefix="0" xfId="0"/>
    <xf numFmtId="167" fontId="21" fillId="10" borderId="21" pivotButton="0" quotePrefix="0" xfId="0"/>
    <xf numFmtId="168" fontId="14" fillId="0" borderId="21" pivotButton="0" quotePrefix="0" xfId="0"/>
    <xf numFmtId="10" fontId="14" fillId="0" borderId="21" pivotButton="0" quotePrefix="0" xfId="0"/>
    <xf numFmtId="0" fontId="14" fillId="0" borderId="21" pivotButton="0" quotePrefix="0" xfId="0"/>
    <xf numFmtId="0" fontId="22" fillId="9" borderId="21" pivotButton="0" quotePrefix="0" xfId="0"/>
    <xf numFmtId="167" fontId="15" fillId="0" borderId="21" pivotButton="0" quotePrefix="0" xfId="0"/>
    <xf numFmtId="168" fontId="15" fillId="0" borderId="21" pivotButton="0" quotePrefix="0" xfId="0"/>
    <xf numFmtId="0" fontId="23" fillId="0" borderId="21" pivotButton="0" quotePrefix="0" xfId="0"/>
    <xf numFmtId="167" fontId="24" fillId="0" borderId="21" pivotButton="0" quotePrefix="0" xfId="0"/>
    <xf numFmtId="0" fontId="25" fillId="0" borderId="21" pivotButton="0" quotePrefix="0" xfId="0"/>
    <xf numFmtId="167" fontId="25" fillId="8" borderId="21" pivotButton="0" quotePrefix="0" xfId="0"/>
    <xf numFmtId="168" fontId="24" fillId="0" borderId="21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STR Analyzer</author>
  </authors>
  <commentList>
    <comment ref="I4" authorId="0" shapeId="0">
      <text>
        <t>Source: Tax Foundation, 2026. National avg effective property tax ~1.1%. Formula: Purchase Price * 1.1% / 12</t>
      </text>
    </comment>
    <comment ref="I5" authorId="0" shapeId="0">
      <text>
        <t>Source: Bankrate/NerdWallet, April 2026. Landlord insurance avg $2,400/yr ($200/mo) for investment property.</t>
      </text>
    </comment>
    <comment ref="I7" authorId="0" shapeId="0">
      <text>
        <t>Source: Move.org/ApartmentList, 2026. Avg water+sewer $40-60/mo for rental property.</t>
      </text>
    </comment>
    <comment ref="I8" authorId="0" shapeId="0">
      <text>
        <t>Source: ApartmentList/ElectricRates.org, 2026. Avg natural gas $25-45/mo.</t>
      </text>
    </comment>
    <comment ref="I9" authorId="0" shapeId="0">
      <text>
        <t>Source: ApartmentList/Move.org, 2026. Avg electricity $100-150/mo for 2-3BR.</t>
      </text>
    </comment>
    <comment ref="I10" authorId="0" shapeId="0">
      <text>
        <t>Source: Move.org, 2026. Internet $60-80 + streaming $20-40/mo.</t>
      </text>
    </comment>
    <comment ref="O11" authorId="0" shapeId="0">
      <text>
        <t>Cumulative principal paid in Year 1 of mortgage (auto-calculated from 7.25% rate, 30yr, 80% LTV).</t>
      </text>
    </comment>
    <comment ref="L17" authorId="0" shapeId="0">
      <text>
        <t>Source: Bankrate/TheMortgageReports, April 2026. Investment property 30yr fixed rate ~7.25% (primary ~6.5% + 0.5-0.75% premium). 20% down = no PMI.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bankrate.com/calculators/mortgages/mortgage-calculator.aspx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55" customWidth="1" style="76" min="1" max="1"/>
    <col width="45" customWidth="1" style="76" min="2" max="2"/>
  </cols>
  <sheetData>
    <row r="1">
      <c r="A1" s="77" t="inlineStr">
        <is>
          <t>STR INVESTMENT ANALYSIS TOOL</t>
        </is>
      </c>
      <c r="B1" s="78" t="inlineStr"/>
    </row>
    <row r="2">
      <c r="A2" s="79" t="inlineStr"/>
      <c r="B2" s="78" t="inlineStr"/>
    </row>
    <row r="3">
      <c r="A3" s="80" t="inlineStr">
        <is>
          <t>HOW TO USE:</t>
        </is>
      </c>
      <c r="B3" s="78" t="inlineStr"/>
    </row>
    <row r="4">
      <c r="A4" s="80" t="inlineStr">
        <is>
          <t>1. Go to the "template" sheet and fill in YELLOW cells:</t>
        </is>
      </c>
      <c r="B4" s="78" t="inlineStr"/>
    </row>
    <row r="5">
      <c r="A5" s="81" t="inlineStr">
        <is>
          <t xml:space="preserve">   - Purchase Price (C4)</t>
        </is>
      </c>
      <c r="B5" s="78" t="inlineStr"/>
    </row>
    <row r="6">
      <c r="A6" s="81" t="inlineStr">
        <is>
          <t xml:space="preserve">   - Revenue estimates: ADR and Occupancy for Low/Mid/High scenarios</t>
        </is>
      </c>
      <c r="B6" s="78" t="inlineStr"/>
    </row>
    <row r="7">
      <c r="A7" s="81" t="inlineStr">
        <is>
          <t xml:space="preserve">   - HOA (I6), City Permit (I17), Co-Host fee % (I18)</t>
        </is>
      </c>
      <c r="B7" s="78" t="inlineStr"/>
    </row>
    <row r="8">
      <c r="A8" s="81" t="inlineStr">
        <is>
          <t xml:space="preserve">   - Number of bedrooms (C12) and furnishing costs</t>
        </is>
      </c>
      <c r="B8" s="78" t="inlineStr"/>
    </row>
    <row r="9">
      <c r="A9" s="79" t="inlineStr"/>
      <c r="B9" s="78" t="inlineStr"/>
    </row>
    <row r="10">
      <c r="A10" s="80" t="inlineStr">
        <is>
          <t>2. Go to "Offer Price Analyzer" sheet:</t>
        </is>
      </c>
      <c r="B10" s="78" t="inlineStr"/>
    </row>
    <row r="11">
      <c r="A11" s="81" t="inlineStr">
        <is>
          <t xml:space="preserve">   - Enter your ADR estimates for Low/Mid/High scenarios</t>
        </is>
      </c>
      <c r="B11" s="78" t="inlineStr"/>
    </row>
    <row r="12">
      <c r="A12" s="81" t="inlineStr">
        <is>
          <t xml:space="preserve">   - Adjust expenses if needed</t>
        </is>
      </c>
      <c r="B12" s="78" t="inlineStr"/>
    </row>
    <row r="13">
      <c r="A13" s="81" t="inlineStr">
        <is>
          <t xml:space="preserve">   - The sheet auto-calculates max offer price for 20%+ cap rates</t>
        </is>
      </c>
      <c r="B13" s="78" t="inlineStr"/>
    </row>
    <row r="14">
      <c r="A14" s="81" t="inlineStr">
        <is>
          <t xml:space="preserve">   - Sensitivity table shows cap rates at various price points</t>
        </is>
      </c>
      <c r="B14" s="78" t="inlineStr"/>
    </row>
    <row r="15">
      <c r="A15" s="79" t="inlineStr"/>
      <c r="B15" s="78" t="inlineStr"/>
    </row>
    <row r="16">
      <c r="A16" s="80" t="inlineStr">
        <is>
          <t>PRE-FILLED DEFAULTS (April 2026 Research):</t>
        </is>
      </c>
      <c r="B16" s="78" t="inlineStr"/>
    </row>
    <row r="17">
      <c r="A17" s="79" t="inlineStr"/>
      <c r="B17" s="78" t="inlineStr"/>
    </row>
    <row r="18">
      <c r="A18" s="79" t="inlineStr">
        <is>
          <t>Mortgage Rate: 7.25% (30yr fixed, investment property)</t>
        </is>
      </c>
      <c r="B18" s="78" t="inlineStr">
        <is>
          <t>Source: Bankrate/TheMortgageReports Apr 2026</t>
        </is>
      </c>
    </row>
    <row r="19">
      <c r="A19" s="79" t="inlineStr">
        <is>
          <t>Down Payment: 20% (no PMI)</t>
        </is>
      </c>
      <c r="B19" s="78" t="inlineStr"/>
    </row>
    <row r="20">
      <c r="A20" s="79" t="inlineStr">
        <is>
          <t>Property Tax: 1.1% (national avg effective rate)</t>
        </is>
      </c>
      <c r="B20" s="78" t="inlineStr">
        <is>
          <t>Source: Tax Foundation 2026</t>
        </is>
      </c>
    </row>
    <row r="21">
      <c r="A21" s="79" t="inlineStr">
        <is>
          <t>Insurance: $200/mo ($2,400/yr)</t>
        </is>
      </c>
      <c r="B21" s="78" t="inlineStr">
        <is>
          <t>Source: Bankrate/NerdWallet Apr 2026</t>
        </is>
      </c>
    </row>
    <row r="22">
      <c r="A22" s="79" t="inlineStr">
        <is>
          <t>Water: $50/mo</t>
        </is>
      </c>
      <c r="B22" s="78" t="inlineStr">
        <is>
          <t>Source: Move.org/ApartmentList 2026</t>
        </is>
      </c>
    </row>
    <row r="23">
      <c r="A23" s="79" t="inlineStr">
        <is>
          <t>Gas: $35/mo</t>
        </is>
      </c>
      <c r="B23" s="78" t="inlineStr">
        <is>
          <t>Source: ApartmentList 2026</t>
        </is>
      </c>
    </row>
    <row r="24">
      <c r="A24" s="79" t="inlineStr">
        <is>
          <t>Electric: $140/mo</t>
        </is>
      </c>
      <c r="B24" s="78" t="inlineStr">
        <is>
          <t>Source: Move.org 2026</t>
        </is>
      </c>
    </row>
    <row r="25">
      <c r="A25" s="79" t="inlineStr">
        <is>
          <t>WiFi + Cable: $100/mo</t>
        </is>
      </c>
      <c r="B25" s="78" t="inlineStr">
        <is>
          <t>Source: Move.org 2026</t>
        </is>
      </c>
    </row>
    <row r="26">
      <c r="A26" s="79" t="inlineStr">
        <is>
          <t>Airbnb Service Fee: 3%</t>
        </is>
      </c>
      <c r="B26" s="78" t="inlineStr"/>
    </row>
    <row r="27">
      <c r="A27" s="79" t="inlineStr"/>
      <c r="B27" s="78" t="inlineStr"/>
    </row>
    <row r="28">
      <c r="A28" s="80" t="inlineStr">
        <is>
          <t>COLOR CODE:</t>
        </is>
      </c>
      <c r="B28" s="78" t="inlineStr"/>
    </row>
    <row r="29">
      <c r="A29" s="79" t="inlineStr">
        <is>
          <t>Blue text = Input values (editable)</t>
        </is>
      </c>
      <c r="B29" s="78" t="inlineStr"/>
    </row>
    <row r="30">
      <c r="A30" s="79" t="inlineStr">
        <is>
          <t>Black text = Formulas (auto-calculated)</t>
        </is>
      </c>
      <c r="B30" s="78" t="inlineStr"/>
    </row>
    <row r="31">
      <c r="A31" s="79" t="inlineStr">
        <is>
          <t>Yellow background = Key inputs to fill in</t>
        </is>
      </c>
      <c r="B31" s="78" t="inlineStr"/>
    </row>
    <row r="32">
      <c r="A32" s="79" t="inlineStr"/>
      <c r="B32" s="78" t="inlineStr"/>
    </row>
    <row r="33">
      <c r="A33" s="80" t="inlineStr">
        <is>
          <t>CAP RATE FORMULA:</t>
        </is>
      </c>
      <c r="B33" s="78" t="inlineStr"/>
    </row>
    <row r="34">
      <c r="A34" s="79" t="inlineStr">
        <is>
          <t>Cap Rate = Net Operating Income (Annual) / Purchase Price</t>
        </is>
      </c>
      <c r="B34" s="78" t="inlineStr"/>
    </row>
    <row r="35">
      <c r="A35" s="79" t="inlineStr">
        <is>
          <t>NOI = Gross Revenue - Operating Expenses (before mortgage)</t>
        </is>
      </c>
      <c r="B35" s="78" t="inlineStr"/>
    </row>
    <row r="36">
      <c r="A36" s="79" t="inlineStr">
        <is>
          <t>Target: Mid &amp; High Cap Rate &gt; 20%</t>
        </is>
      </c>
      <c r="B36" s="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0.88" customWidth="1" style="76" min="1" max="1"/>
    <col width="31.5" customWidth="1" style="76" min="2" max="2"/>
    <col width="11.88" customWidth="1" style="76" min="3" max="3"/>
    <col width="1" customWidth="1" style="76" min="4" max="4"/>
    <col width="20" customWidth="1" style="76" min="5" max="5"/>
    <col width="1.13" customWidth="1" style="76" min="7" max="7"/>
    <col width="39.75" customWidth="1" style="76" min="8" max="8"/>
    <col width="9.25" customWidth="1" style="76" min="9" max="9"/>
    <col width="1.25" customWidth="1" style="76" min="10" max="10"/>
    <col width="16.75" customWidth="1" style="76" min="11" max="11"/>
    <col width="11.63" customWidth="1" style="76" min="12" max="12"/>
    <col width="1" customWidth="1" style="76" min="13" max="13"/>
    <col width="40" customWidth="1" style="76" min="14" max="14"/>
    <col width="9.75" customWidth="1" style="76" min="15" max="15"/>
    <col width="1.13" customWidth="1" style="76" min="16" max="16"/>
    <col width="25.25" customWidth="1" style="76" min="17" max="17"/>
  </cols>
  <sheetData>
    <row r="1" ht="19.5" customHeight="1" s="76">
      <c r="A1" s="1" t="n"/>
      <c r="B1" s="2" t="inlineStr">
        <is>
          <t xml:space="preserve">To use this sheet, go to 'File' &gt; 'Make a copy' </t>
        </is>
      </c>
      <c r="H1" s="3" t="n"/>
      <c r="I1" s="3" t="n"/>
    </row>
    <row r="2" ht="19.5" customHeight="1" s="76">
      <c r="A2" s="1" t="n"/>
      <c r="B2" s="3" t="inlineStr">
        <is>
          <t>Property Address:</t>
        </is>
      </c>
    </row>
    <row r="3">
      <c r="A3" s="4" t="n"/>
      <c r="B3" s="82" t="inlineStr">
        <is>
          <t>Investment Details</t>
        </is>
      </c>
      <c r="C3" s="83" t="n"/>
      <c r="D3" s="7" t="n"/>
      <c r="E3" s="84" t="inlineStr">
        <is>
          <t>Low</t>
        </is>
      </c>
      <c r="F3" s="83" t="n"/>
      <c r="G3" s="7" t="n"/>
      <c r="H3" s="84" t="inlineStr">
        <is>
          <t>Monthly Operating Expenses</t>
        </is>
      </c>
      <c r="I3" s="83" t="n"/>
      <c r="J3" s="7" t="n"/>
      <c r="K3" s="84" t="inlineStr">
        <is>
          <t>Net Operating Income LOW</t>
        </is>
      </c>
      <c r="L3" s="83" t="n"/>
      <c r="N3" s="85" t="inlineStr">
        <is>
          <t>Low</t>
        </is>
      </c>
      <c r="O3" s="83" t="n"/>
      <c r="Q3" s="86" t="inlineStr">
        <is>
          <t>Calculation of Pay-Back Period (From Cash Flows) - Best Estimate Forecast</t>
        </is>
      </c>
      <c r="R3" s="87" t="n"/>
      <c r="S3" s="87" t="n"/>
      <c r="T3" s="87" t="n"/>
      <c r="U3" s="87" t="n"/>
      <c r="V3" s="87" t="n"/>
      <c r="W3" s="87" t="n"/>
      <c r="X3" s="87" t="n"/>
      <c r="Y3" s="87" t="n"/>
      <c r="Z3" s="87" t="n"/>
      <c r="AA3" s="87" t="n"/>
      <c r="AB3" s="88" t="n"/>
      <c r="AC3" s="4" t="n"/>
    </row>
    <row r="4">
      <c r="A4" s="40" t="n"/>
      <c r="B4" s="14" t="inlineStr">
        <is>
          <t>Purchase Price</t>
        </is>
      </c>
      <c r="C4" s="89" t="n">
        <v>0</v>
      </c>
      <c r="E4" s="14" t="inlineStr">
        <is>
          <t>Average Daily Rate</t>
        </is>
      </c>
      <c r="F4" s="89" t="n">
        <v>0</v>
      </c>
      <c r="H4" s="17" t="inlineStr">
        <is>
          <t>Taxes</t>
        </is>
      </c>
      <c r="I4" s="90">
        <f>C4*0.011/12</f>
        <v/>
      </c>
      <c r="K4" s="18" t="inlineStr">
        <is>
          <t>Monthly</t>
        </is>
      </c>
      <c r="L4" s="32">
        <f>F8-I24</f>
        <v/>
      </c>
      <c r="N4" s="20" t="inlineStr">
        <is>
          <t>Cash on Cash Return (CoC)</t>
        </is>
      </c>
      <c r="O4" s="21">
        <f>L21/C17</f>
        <v/>
      </c>
      <c r="Q4" s="43" t="inlineStr">
        <is>
          <t>Calculation of Net Cash Flow</t>
        </is>
      </c>
      <c r="R4" s="23" t="inlineStr">
        <is>
          <t>Year 0</t>
        </is>
      </c>
      <c r="S4" s="23" t="inlineStr">
        <is>
          <t>Year 1</t>
        </is>
      </c>
      <c r="T4" s="23" t="inlineStr">
        <is>
          <t>Year 2</t>
        </is>
      </c>
      <c r="U4" s="23" t="inlineStr">
        <is>
          <t>Year 3</t>
        </is>
      </c>
      <c r="V4" s="23" t="inlineStr">
        <is>
          <t xml:space="preserve">Year 4 </t>
        </is>
      </c>
      <c r="W4" s="23" t="inlineStr">
        <is>
          <t>Year 5</t>
        </is>
      </c>
      <c r="X4" s="23" t="inlineStr">
        <is>
          <t>Year 6</t>
        </is>
      </c>
      <c r="Y4" s="23" t="inlineStr">
        <is>
          <t>Year 7</t>
        </is>
      </c>
      <c r="Z4" s="23" t="inlineStr">
        <is>
          <t>Year 8</t>
        </is>
      </c>
      <c r="AA4" s="23" t="inlineStr">
        <is>
          <t>Year 9</t>
        </is>
      </c>
      <c r="AB4" s="26" t="inlineStr">
        <is>
          <t>Year 10</t>
        </is>
      </c>
      <c r="AC4" s="23" t="n"/>
    </row>
    <row r="5" ht="18.75" customHeight="1" s="76">
      <c r="A5" s="40" t="n"/>
      <c r="B5" s="14" t="inlineStr">
        <is>
          <t>Down Payment %</t>
        </is>
      </c>
      <c r="C5" s="91" t="n">
        <v>0.2</v>
      </c>
      <c r="E5" s="14" t="inlineStr">
        <is>
          <t>Occupancy Rate</t>
        </is>
      </c>
      <c r="F5" s="92" t="n">
        <v>0.5</v>
      </c>
      <c r="H5" s="17" t="inlineStr">
        <is>
          <t>Insurance</t>
        </is>
      </c>
      <c r="I5" s="93" t="n">
        <v>200</v>
      </c>
      <c r="K5" s="18" t="inlineStr">
        <is>
          <t>Annual</t>
        </is>
      </c>
      <c r="L5" s="26">
        <f>L4*12</f>
        <v/>
      </c>
      <c r="N5" s="94" t="inlineStr">
        <is>
          <t>Total Return On Investment (ROI)</t>
        </is>
      </c>
      <c r="O5" s="95" t="n"/>
      <c r="Q5" s="29" t="inlineStr">
        <is>
          <t>Initial Investment</t>
        </is>
      </c>
      <c r="R5" s="31">
        <f>-C17</f>
        <v/>
      </c>
      <c r="S5" s="31" t="n">
        <v>0</v>
      </c>
      <c r="T5" s="31" t="n">
        <v>0</v>
      </c>
      <c r="U5" s="31" t="n">
        <v>0</v>
      </c>
      <c r="V5" s="31" t="n">
        <v>0</v>
      </c>
      <c r="W5" s="31" t="n">
        <v>0</v>
      </c>
      <c r="X5" s="31" t="n">
        <v>0</v>
      </c>
      <c r="Y5" s="31" t="n">
        <v>0</v>
      </c>
      <c r="Z5" s="31" t="n">
        <v>0</v>
      </c>
      <c r="AA5" s="31" t="n">
        <v>0</v>
      </c>
      <c r="AB5" s="32" t="n">
        <v>0</v>
      </c>
      <c r="AC5" s="31" t="n"/>
    </row>
    <row r="6">
      <c r="A6" s="40" t="n"/>
      <c r="B6" s="14" t="inlineStr">
        <is>
          <t>Total Down Payment</t>
        </is>
      </c>
      <c r="C6" s="32">
        <f>C4*C5</f>
        <v/>
      </c>
      <c r="E6" s="33" t="inlineStr">
        <is>
          <t>Estimated Days/Year Occupied</t>
        </is>
      </c>
      <c r="F6" s="34">
        <f>365*F5</f>
        <v/>
      </c>
      <c r="H6" s="17" t="inlineStr">
        <is>
          <t>HOA</t>
        </is>
      </c>
      <c r="I6" s="89" t="n">
        <v>0</v>
      </c>
      <c r="K6" s="35" t="inlineStr">
        <is>
          <t>Cap Rate</t>
        </is>
      </c>
      <c r="L6" s="36">
        <f>L5/C4</f>
        <v/>
      </c>
      <c r="N6" s="29" t="inlineStr">
        <is>
          <t>Did you Rehab the property? What is the new est. appraised value? If not, enter the purchase price. Must Enter Value</t>
        </is>
      </c>
      <c r="O6" s="89">
        <f>C4</f>
        <v/>
      </c>
      <c r="Q6" s="29" t="inlineStr">
        <is>
          <t>Future Cash Flows</t>
        </is>
      </c>
      <c r="R6" s="31" t="n">
        <v>0</v>
      </c>
      <c r="S6" s="31">
        <f>$L$24</f>
        <v/>
      </c>
      <c r="T6" s="31">
        <f>$L$24</f>
        <v/>
      </c>
      <c r="U6" s="31">
        <f>$L$24</f>
        <v/>
      </c>
      <c r="V6" s="31">
        <f>$L$24</f>
        <v/>
      </c>
      <c r="W6" s="31">
        <f>$L$24</f>
        <v/>
      </c>
      <c r="X6" s="31">
        <f>$L$24</f>
        <v/>
      </c>
      <c r="Y6" s="31">
        <f>$L$24</f>
        <v/>
      </c>
      <c r="Z6" s="31">
        <f>$L$24</f>
        <v/>
      </c>
      <c r="AA6" s="31">
        <f>$L$24</f>
        <v/>
      </c>
      <c r="AB6" s="31">
        <f>$L$24</f>
        <v/>
      </c>
      <c r="AC6" s="31" t="n"/>
    </row>
    <row r="7">
      <c r="A7" s="40" t="n"/>
      <c r="B7" s="14" t="inlineStr">
        <is>
          <t>Estimated Closing Costs % (Suggested 3-4% for investment loan and 5% for second home loan and 5-6% for DSCR loan)</t>
        </is>
      </c>
      <c r="C7" s="91" t="n">
        <v>0.035</v>
      </c>
      <c r="E7" s="14" t="inlineStr">
        <is>
          <t>Annual Revenue</t>
        </is>
      </c>
      <c r="F7" s="32">
        <f>F4*F6</f>
        <v/>
      </c>
      <c r="H7" s="17" t="inlineStr">
        <is>
          <t>Water</t>
        </is>
      </c>
      <c r="I7" s="93" t="n">
        <v>50</v>
      </c>
      <c r="K7" s="84" t="inlineStr">
        <is>
          <t>Net Operating Income MID</t>
        </is>
      </c>
      <c r="L7" s="83" t="n"/>
      <c r="N7" s="43" t="inlineStr">
        <is>
          <t xml:space="preserve">Forced Appreciation  </t>
        </is>
      </c>
      <c r="O7" s="32">
        <f>O6-C4</f>
        <v/>
      </c>
      <c r="Q7" s="29" t="inlineStr">
        <is>
          <t>Total Cash Flows</t>
        </is>
      </c>
      <c r="R7" s="31">
        <f>sum(R5:R6)</f>
        <v/>
      </c>
      <c r="S7" s="31">
        <f>sum(S6)</f>
        <v/>
      </c>
      <c r="T7" s="31">
        <f>sum(T6)</f>
        <v/>
      </c>
      <c r="U7" s="31">
        <f>sum(U6)</f>
        <v/>
      </c>
      <c r="V7" s="31">
        <f>sum(V6)</f>
        <v/>
      </c>
      <c r="W7" s="31">
        <f>sum(W6)</f>
        <v/>
      </c>
      <c r="X7" s="31">
        <f>sum(X6)</f>
        <v/>
      </c>
      <c r="Y7" s="31">
        <f>sum(Y6)</f>
        <v/>
      </c>
      <c r="Z7" s="31">
        <f>sum(Z6)</f>
        <v/>
      </c>
      <c r="AA7" s="31">
        <f>sum(AA6)</f>
        <v/>
      </c>
      <c r="AB7" s="32">
        <f>sum(AB6)</f>
        <v/>
      </c>
      <c r="AC7" s="31" t="n"/>
    </row>
    <row r="8">
      <c r="A8" s="40" t="n"/>
      <c r="B8" s="14" t="inlineStr">
        <is>
          <t>Estimated Closing Costs Incurred</t>
        </is>
      </c>
      <c r="C8" s="32">
        <f>C4*C7</f>
        <v/>
      </c>
      <c r="E8" s="33" t="inlineStr">
        <is>
          <t>Monthly Revenue</t>
        </is>
      </c>
      <c r="F8" s="37">
        <f>F7/12</f>
        <v/>
      </c>
      <c r="H8" s="17" t="inlineStr">
        <is>
          <t>Gas</t>
        </is>
      </c>
      <c r="I8" s="93" t="n">
        <v>35</v>
      </c>
      <c r="K8" s="18" t="inlineStr">
        <is>
          <t>Monthly</t>
        </is>
      </c>
      <c r="L8" s="32">
        <f>F15-I25</f>
        <v/>
      </c>
      <c r="N8" s="29" t="inlineStr">
        <is>
          <t>Appreciation % Annual (suggested 3% Baseline):</t>
        </is>
      </c>
      <c r="O8" s="92" t="n">
        <v>0.03</v>
      </c>
      <c r="Q8" s="38" t="inlineStr">
        <is>
          <t>Cummulative Cash Flows</t>
        </is>
      </c>
      <c r="R8" s="39">
        <f>R7</f>
        <v/>
      </c>
      <c r="S8" s="39">
        <f>R8+S7</f>
        <v/>
      </c>
      <c r="T8" s="39">
        <f>S8+T7</f>
        <v/>
      </c>
      <c r="U8" s="39">
        <f>T8+U7</f>
        <v/>
      </c>
      <c r="V8" s="39">
        <f>U8+V7</f>
        <v/>
      </c>
      <c r="W8" s="39">
        <f>V8+W7</f>
        <v/>
      </c>
      <c r="X8" s="39">
        <f>W8+X7</f>
        <v/>
      </c>
      <c r="Y8" s="39">
        <f>X8+Y7</f>
        <v/>
      </c>
      <c r="Z8" s="39">
        <f>Y8+Z7</f>
        <v/>
      </c>
      <c r="AA8" s="39">
        <f>Z8+AA7</f>
        <v/>
      </c>
      <c r="AB8" s="37">
        <f>AA8+AB7</f>
        <v/>
      </c>
    </row>
    <row r="9">
      <c r="A9" s="40" t="n"/>
      <c r="B9" s="14" t="inlineStr">
        <is>
          <t>Appraisal Gap (If applicable)</t>
        </is>
      </c>
      <c r="C9" s="16" t="n">
        <v>0</v>
      </c>
      <c r="H9" s="17" t="inlineStr">
        <is>
          <t>Electric</t>
        </is>
      </c>
      <c r="I9" s="93" t="n">
        <v>140</v>
      </c>
      <c r="K9" s="18" t="inlineStr">
        <is>
          <t>Annual</t>
        </is>
      </c>
      <c r="L9" s="41">
        <f>L8*12</f>
        <v/>
      </c>
      <c r="N9" s="43" t="inlineStr">
        <is>
          <t>Estimated Appreciation Year 1</t>
        </is>
      </c>
      <c r="O9" s="32">
        <f>O8*O6</f>
        <v/>
      </c>
      <c r="Q9" s="57" t="n"/>
    </row>
    <row r="10">
      <c r="A10" s="40" t="n"/>
      <c r="B10" s="14" t="inlineStr">
        <is>
          <t>Estimated Rehab Cost + Contractor Labor (If applicable)</t>
        </is>
      </c>
      <c r="C10" s="15" t="n">
        <v>0</v>
      </c>
      <c r="E10" s="84" t="inlineStr">
        <is>
          <t>Mid</t>
        </is>
      </c>
      <c r="F10" s="83" t="n"/>
      <c r="H10" s="17" t="inlineStr">
        <is>
          <t>Wifi + TV/Cable</t>
        </is>
      </c>
      <c r="I10" s="93" t="n">
        <v>100</v>
      </c>
      <c r="K10" s="35" t="inlineStr">
        <is>
          <t>Cap Rate</t>
        </is>
      </c>
      <c r="L10" s="36">
        <f>L9/C4</f>
        <v/>
      </c>
      <c r="N10" s="43" t="n"/>
      <c r="O10" s="26" t="n"/>
    </row>
    <row r="11">
      <c r="A11" s="40" t="n"/>
      <c r="B11" s="14" t="inlineStr">
        <is>
          <t xml:space="preserve">Design (if outsourced) </t>
        </is>
      </c>
      <c r="C11" s="16" t="n">
        <v>0</v>
      </c>
      <c r="E11" s="14" t="inlineStr">
        <is>
          <t>Average Daily Rate</t>
        </is>
      </c>
      <c r="F11" s="89" t="n">
        <v>0</v>
      </c>
      <c r="H11" s="17" t="inlineStr">
        <is>
          <t>CAPEX (new roof, HVAC, etc)</t>
        </is>
      </c>
      <c r="I11" s="89" t="n">
        <v>0</v>
      </c>
      <c r="K11" s="84" t="inlineStr">
        <is>
          <t>Net Operating Income HIGH</t>
        </is>
      </c>
      <c r="L11" s="83" t="n"/>
      <c r="N11" s="29" t="inlineStr">
        <is>
          <t>Principal Paydown (Add up the total principal payments year 1 from Amort. schedule)</t>
        </is>
      </c>
      <c r="O11" s="90">
        <f>-CUMPRINC(0.0725/12,360,C4*(1-C5),1,12,0)</f>
        <v/>
      </c>
    </row>
    <row r="12">
      <c r="A12" s="40" t="n"/>
      <c r="B12" s="14" t="inlineStr">
        <is>
          <t># of Bedrooms</t>
        </is>
      </c>
      <c r="C12" s="96" t="n">
        <v>0</v>
      </c>
      <c r="E12" s="14" t="inlineStr">
        <is>
          <t>Occupancy Rate</t>
        </is>
      </c>
      <c r="F12" s="92" t="n">
        <v>0.6</v>
      </c>
      <c r="H12" s="17" t="inlineStr">
        <is>
          <t>Incidentals (If you provide soap, coffee, toilet paper, etc)</t>
        </is>
      </c>
      <c r="I12" s="93" t="n">
        <v>75</v>
      </c>
      <c r="K12" s="18" t="inlineStr">
        <is>
          <t>Monthly</t>
        </is>
      </c>
      <c r="L12" s="32">
        <f>F22-I26</f>
        <v/>
      </c>
      <c r="N12" s="45" t="inlineStr">
        <is>
          <t>Total Return on Investment</t>
        </is>
      </c>
      <c r="O12" s="21">
        <f>(L21+O9+O11+O7)/C17</f>
        <v/>
      </c>
    </row>
    <row r="13">
      <c r="A13" s="40" t="n"/>
      <c r="B13" s="14" t="inlineStr">
        <is>
          <t>Estimated Cost Per BR (Includes Common Spaces such as kitchen, living, dining and hallways) * For larger sq/ft or higher end properties, budget $7.5-10k/room</t>
        </is>
      </c>
      <c r="C13" s="89" t="n">
        <v>5000</v>
      </c>
      <c r="E13" s="33" t="inlineStr">
        <is>
          <t>Estimated Days/Year Occupied</t>
        </is>
      </c>
      <c r="F13" s="34">
        <f>365*F12</f>
        <v/>
      </c>
      <c r="H13" s="17" t="inlineStr">
        <is>
          <t>Cleaning fees (if you are NOT forecasting cleaning fee revenue into forecast, put $0 here!)</t>
        </is>
      </c>
      <c r="I13" s="89" t="n">
        <v>0</v>
      </c>
      <c r="K13" s="18" t="inlineStr">
        <is>
          <t>Annual</t>
        </is>
      </c>
      <c r="L13" s="41">
        <f>L12*12</f>
        <v/>
      </c>
      <c r="N13" s="85" t="inlineStr">
        <is>
          <t>Mid</t>
        </is>
      </c>
      <c r="O13" s="83" t="n"/>
    </row>
    <row r="14">
      <c r="A14" s="40" t="n"/>
      <c r="B14" s="14" t="inlineStr">
        <is>
          <t># of Extra Common Spaces (Patios, Bonus Rooms, etc)</t>
        </is>
      </c>
      <c r="C14" s="96" t="n">
        <v>0</v>
      </c>
      <c r="E14" s="14" t="inlineStr">
        <is>
          <t>Annual Revenue</t>
        </is>
      </c>
      <c r="F14" s="32">
        <f>F11*F13</f>
        <v/>
      </c>
      <c r="H14" s="17" t="inlineStr">
        <is>
          <t>General Maintenacne (ie. Landscaping, Pool, random repairs, pest, etc)</t>
        </is>
      </c>
      <c r="I14" s="93" t="n">
        <v>100</v>
      </c>
      <c r="K14" s="35" t="inlineStr">
        <is>
          <t>Cap Rate</t>
        </is>
      </c>
      <c r="L14" s="36">
        <f>L13/C4</f>
        <v/>
      </c>
      <c r="N14" s="20" t="inlineStr">
        <is>
          <t>Cash on Cash Return (CoC)</t>
        </is>
      </c>
      <c r="O14" s="21">
        <f>L24/C17</f>
        <v/>
      </c>
    </row>
    <row r="15">
      <c r="A15" s="46" t="n"/>
      <c r="B15" s="47" t="inlineStr">
        <is>
          <t>Estimated Cost Per Additional Common Space ($2.5-5k/extra space)</t>
        </is>
      </c>
      <c r="C15" s="89" t="n">
        <v>3000</v>
      </c>
      <c r="E15" s="33" t="inlineStr">
        <is>
          <t>Monthly Revenue</t>
        </is>
      </c>
      <c r="F15" s="37">
        <f>F14/12</f>
        <v/>
      </c>
      <c r="H15" s="17" t="inlineStr">
        <is>
          <t>Guesty for Hosts or Hospitable (check online pricing)</t>
        </is>
      </c>
      <c r="I15" s="93" t="n">
        <v>25</v>
      </c>
      <c r="N15" s="94" t="inlineStr">
        <is>
          <t>Total Return On Investment (ROI)</t>
        </is>
      </c>
      <c r="O15" s="95" t="n"/>
    </row>
    <row r="16">
      <c r="A16" s="40" t="n"/>
      <c r="B16" s="14" t="inlineStr">
        <is>
          <t>Estimated Cost to Furnish The House</t>
        </is>
      </c>
      <c r="C16" s="32">
        <f>(C12*C13)+(C14*C15)+C11</f>
        <v/>
      </c>
      <c r="H16" s="17" t="inlineStr">
        <is>
          <t>Pricelabs (check online pricing)</t>
        </is>
      </c>
      <c r="I16" s="93" t="n">
        <v>20</v>
      </c>
      <c r="K16" s="84" t="inlineStr">
        <is>
          <t>Principal, Interest  &amp; PMI</t>
        </is>
      </c>
      <c r="L16" s="83" t="n"/>
      <c r="N16" s="29" t="inlineStr">
        <is>
          <t>Did you Rehab the property? What is the new est. appraised value? If not, enter the purchase price. Must Enter Value</t>
        </is>
      </c>
      <c r="O16" s="32">
        <f>O6</f>
        <v/>
      </c>
    </row>
    <row r="17">
      <c r="A17" s="40" t="n"/>
      <c r="B17" s="49" t="inlineStr">
        <is>
          <t>Total Money Invested</t>
        </is>
      </c>
      <c r="C17" s="50">
        <f>C6+C8+C10+C16+C9</f>
        <v/>
      </c>
      <c r="E17" s="97" t="inlineStr">
        <is>
          <t>High</t>
        </is>
      </c>
      <c r="F17" s="83" t="n"/>
      <c r="H17" s="17" t="inlineStr">
        <is>
          <t>City Permit - Divide Annual Permit by 12</t>
        </is>
      </c>
      <c r="I17" s="89" t="n">
        <v>0</v>
      </c>
      <c r="K17" s="43" t="inlineStr">
        <is>
          <t>Monthly</t>
        </is>
      </c>
      <c r="L17" s="90">
        <f>-PMT(0.0725/12,360,C4*(1-C5))</f>
        <v/>
      </c>
      <c r="N17" s="43" t="inlineStr">
        <is>
          <t xml:space="preserve">Forced Appreciation  </t>
        </is>
      </c>
      <c r="O17" s="32">
        <f>O16-C4</f>
        <v/>
      </c>
    </row>
    <row r="18">
      <c r="E18" s="60" t="inlineStr">
        <is>
          <t>Average Daily Rate</t>
        </is>
      </c>
      <c r="F18" s="98" t="n">
        <v>0</v>
      </c>
      <c r="H18" s="17" t="inlineStr">
        <is>
          <t>Co-Host / PM % Revenue Fee (If Self Managing, put 0%)</t>
        </is>
      </c>
      <c r="I18" s="91" t="n">
        <v>0</v>
      </c>
      <c r="K18" s="54" t="inlineStr">
        <is>
          <t>Annual</t>
        </is>
      </c>
      <c r="L18" s="55">
        <f>L17*12</f>
        <v/>
      </c>
      <c r="N18" s="29" t="inlineStr">
        <is>
          <t>Appreciation % Annual (suggested 3% Baseline):</t>
        </is>
      </c>
      <c r="O18" s="56">
        <f>O8</f>
        <v/>
      </c>
    </row>
    <row r="19">
      <c r="A19" s="57" t="n"/>
      <c r="B19" s="99" t="inlineStr">
        <is>
          <t>Mortgage Calculator</t>
        </is>
      </c>
      <c r="C19" s="100" t="n"/>
      <c r="E19" s="60" t="inlineStr">
        <is>
          <t>Occupancy Rate</t>
        </is>
      </c>
      <c r="F19" s="101" t="n">
        <v>0.75</v>
      </c>
      <c r="H19" s="17" t="inlineStr">
        <is>
          <t>Co-Host / PM Fee</t>
        </is>
      </c>
      <c r="I19" s="41">
        <f>I18*F15</f>
        <v/>
      </c>
      <c r="N19" s="43" t="inlineStr">
        <is>
          <t>Estimated Appreciation Year 1</t>
        </is>
      </c>
      <c r="O19" s="32">
        <f>O18*O16</f>
        <v/>
      </c>
    </row>
    <row r="20">
      <c r="A20" s="57" t="n"/>
      <c r="B20" s="57" t="n"/>
      <c r="E20" s="62" t="inlineStr">
        <is>
          <t>Estimated Days/Year Occupied</t>
        </is>
      </c>
      <c r="F20" s="63">
        <f>365*F19</f>
        <v/>
      </c>
      <c r="H20" s="64" t="inlineStr">
        <is>
          <t>Co-Host / PM Fee (THIS IS BASED ON MID FORECAST ONLY FYI)</t>
        </is>
      </c>
      <c r="I20" s="41">
        <f>I19*F15</f>
        <v/>
      </c>
      <c r="K20" s="85" t="inlineStr">
        <is>
          <t>Cash Flow - Low</t>
        </is>
      </c>
      <c r="L20" s="83" t="n"/>
      <c r="N20" s="43" t="n"/>
      <c r="O20" s="26" t="n"/>
    </row>
    <row r="21">
      <c r="A21" s="57" t="n"/>
      <c r="B21" s="57" t="n"/>
      <c r="E21" s="60" t="inlineStr">
        <is>
          <t>Annual Revenue</t>
        </is>
      </c>
      <c r="F21" s="65">
        <f>F18*F20</f>
        <v/>
      </c>
      <c r="H21" s="66" t="inlineStr">
        <is>
          <t>Airbnb Service Fee Low</t>
        </is>
      </c>
      <c r="I21" s="26">
        <f>0.03*F8</f>
        <v/>
      </c>
      <c r="K21" s="43" t="inlineStr">
        <is>
          <t>Annual</t>
        </is>
      </c>
      <c r="L21" s="41">
        <f>L5-L18</f>
        <v/>
      </c>
      <c r="N21" s="29" t="inlineStr">
        <is>
          <t>Principal Paydown (Add up the total principal payments year 1 from Amort. schedule)</t>
        </is>
      </c>
      <c r="O21" s="32">
        <f>O11</f>
        <v/>
      </c>
    </row>
    <row r="22">
      <c r="A22" s="57" t="n"/>
      <c r="B22" s="57" t="n"/>
      <c r="E22" s="62" t="inlineStr">
        <is>
          <t>Monthly Revenue</t>
        </is>
      </c>
      <c r="F22" s="67">
        <f>F21/12</f>
        <v/>
      </c>
      <c r="H22" s="66" t="inlineStr">
        <is>
          <t>Airbnb Service Fee Mid</t>
        </is>
      </c>
      <c r="I22" s="26">
        <f>0.03*F15</f>
        <v/>
      </c>
      <c r="K22" s="54" t="inlineStr">
        <is>
          <t>Monthly</t>
        </is>
      </c>
      <c r="L22" s="55">
        <f>L21/12</f>
        <v/>
      </c>
      <c r="N22" s="45" t="inlineStr">
        <is>
          <t>Total Return on Investment</t>
        </is>
      </c>
      <c r="O22" s="21">
        <f>(L24+O19+O21+O17)/C17</f>
        <v/>
      </c>
    </row>
    <row r="23">
      <c r="A23" s="57" t="n"/>
      <c r="H23" s="68" t="inlineStr">
        <is>
          <t>Airbnb Service Fee High</t>
        </is>
      </c>
      <c r="I23" s="34">
        <f>0.03*F22</f>
        <v/>
      </c>
      <c r="K23" s="85" t="inlineStr">
        <is>
          <t>Cash Flow - Mid</t>
        </is>
      </c>
      <c r="L23" s="83" t="n"/>
      <c r="N23" s="85" t="inlineStr">
        <is>
          <t>High</t>
        </is>
      </c>
      <c r="O23" s="83" t="n"/>
    </row>
    <row r="24">
      <c r="A24" s="57" t="n"/>
      <c r="B24" s="69" t="inlineStr">
        <is>
          <t>Comparable Properties</t>
        </is>
      </c>
      <c r="H24" s="17" t="inlineStr">
        <is>
          <t>Total Monthly Operating Expenses LOW</t>
        </is>
      </c>
      <c r="I24" s="41">
        <f>sum(I4:I18)+I20+I21</f>
        <v/>
      </c>
      <c r="K24" s="43" t="inlineStr">
        <is>
          <t>Annual</t>
        </is>
      </c>
      <c r="L24" s="41">
        <f>L9-L18</f>
        <v/>
      </c>
      <c r="N24" s="20" t="inlineStr">
        <is>
          <t>Cash on Cash Return (CoC)</t>
        </is>
      </c>
      <c r="O24" s="21">
        <f>L27/C17</f>
        <v/>
      </c>
    </row>
    <row r="25">
      <c r="A25" s="57" t="n"/>
      <c r="B25" s="40" t="inlineStr">
        <is>
          <t>Airbnb Link</t>
        </is>
      </c>
      <c r="C25" s="46" t="inlineStr">
        <is>
          <t>Est. Revenue</t>
        </is>
      </c>
      <c r="E25" s="46" t="inlineStr">
        <is>
          <t>Amenities or feature highlights</t>
        </is>
      </c>
      <c r="H25" s="17" t="inlineStr">
        <is>
          <t>Total Monthly Operating Expenses MID</t>
        </is>
      </c>
      <c r="I25" s="41">
        <f>sum(I4:I18)+I20+I22</f>
        <v/>
      </c>
      <c r="K25" s="54" t="inlineStr">
        <is>
          <t>Monthly</t>
        </is>
      </c>
      <c r="L25" s="55">
        <f>L24/12</f>
        <v/>
      </c>
      <c r="N25" s="94" t="inlineStr">
        <is>
          <t>Total Return On Investment (ROI)</t>
        </is>
      </c>
      <c r="O25" s="95" t="n"/>
    </row>
    <row r="26">
      <c r="A26" s="57" t="n"/>
      <c r="B26" s="70" t="n"/>
      <c r="C26" s="70" t="n"/>
      <c r="D26" s="70" t="n"/>
      <c r="E26" s="70" t="n"/>
      <c r="H26" s="17" t="inlineStr">
        <is>
          <t>Total Monthly Operating Expenses HIGH</t>
        </is>
      </c>
      <c r="I26" s="41">
        <f>sum(I4:I18)+I20+I23</f>
        <v/>
      </c>
      <c r="K26" s="85" t="inlineStr">
        <is>
          <t>Cash Flow - High</t>
        </is>
      </c>
      <c r="L26" s="83" t="n"/>
      <c r="N26" s="29" t="inlineStr">
        <is>
          <t>Did you Rehab the property? What is the new est. appraised value? If not, enter the purchase price. Must Enter Value</t>
        </is>
      </c>
      <c r="O26" s="32">
        <f>O6</f>
        <v/>
      </c>
    </row>
    <row r="27">
      <c r="A27" s="57" t="n"/>
      <c r="B27" s="70" t="n"/>
      <c r="C27" s="70" t="n"/>
      <c r="D27" s="70" t="n"/>
      <c r="E27" s="70" t="n"/>
      <c r="H27" s="71" t="inlineStr">
        <is>
          <t>Annual Operating Expenses LOW</t>
        </is>
      </c>
      <c r="I27" s="72">
        <f>I24*12</f>
        <v/>
      </c>
      <c r="K27" s="43" t="inlineStr">
        <is>
          <t>Annual</t>
        </is>
      </c>
      <c r="L27" s="41">
        <f>L13-L18</f>
        <v/>
      </c>
      <c r="N27" s="43" t="inlineStr">
        <is>
          <t xml:space="preserve">Forced Appreciation  </t>
        </is>
      </c>
      <c r="O27" s="32">
        <f>O26-C4</f>
        <v/>
      </c>
    </row>
    <row r="28">
      <c r="A28" s="57" t="n"/>
      <c r="B28" s="70" t="n"/>
      <c r="C28" s="70" t="n"/>
      <c r="D28" s="70" t="n"/>
      <c r="E28" s="70" t="n"/>
      <c r="H28" s="66" t="inlineStr">
        <is>
          <t>Annual Operating Expenses MID</t>
        </is>
      </c>
      <c r="I28" s="41">
        <f>I25*12</f>
        <v/>
      </c>
      <c r="K28" s="54" t="inlineStr">
        <is>
          <t>Monthly</t>
        </is>
      </c>
      <c r="L28" s="55">
        <f>L27/12</f>
        <v/>
      </c>
      <c r="N28" s="29" t="inlineStr">
        <is>
          <t>Appreciation % Annual (suggested 3% Baseline):</t>
        </is>
      </c>
      <c r="O28" s="56">
        <f>O8</f>
        <v/>
      </c>
    </row>
    <row r="29">
      <c r="A29" s="57" t="n"/>
      <c r="B29" s="70" t="n"/>
      <c r="C29" s="70" t="n"/>
      <c r="D29" s="70" t="n"/>
      <c r="E29" s="70" t="n"/>
      <c r="H29" s="73" t="inlineStr">
        <is>
          <t>Annual Operating Expenses HIGH</t>
        </is>
      </c>
      <c r="I29" s="55">
        <f>I26*12</f>
        <v/>
      </c>
      <c r="N29" s="43" t="inlineStr">
        <is>
          <t>Estimated Appreciation Year 1</t>
        </is>
      </c>
      <c r="O29" s="32">
        <f>O28*O26</f>
        <v/>
      </c>
    </row>
    <row r="30">
      <c r="A30" s="57" t="n"/>
      <c r="B30" s="70" t="n"/>
      <c r="C30" s="70" t="n"/>
      <c r="D30" s="70" t="n"/>
      <c r="E30" s="70" t="n"/>
      <c r="N30" s="43" t="n"/>
      <c r="O30" s="26" t="n"/>
    </row>
    <row r="31">
      <c r="A31" s="57" t="n"/>
      <c r="B31" s="74" t="n"/>
      <c r="C31" s="75" t="n"/>
      <c r="D31" s="70" t="n"/>
      <c r="E31" s="70" t="n"/>
      <c r="N31" s="29" t="inlineStr">
        <is>
          <t>Principal Paydown (Add up the total principal payments year 1 from Amort. schedule)</t>
        </is>
      </c>
      <c r="O31" s="32">
        <f>O11</f>
        <v/>
      </c>
    </row>
    <row r="32">
      <c r="A32" s="57" t="n"/>
      <c r="B32" s="74" t="n"/>
      <c r="C32" s="75" t="n"/>
      <c r="D32" s="70" t="n"/>
      <c r="E32" s="70" t="n"/>
      <c r="N32" s="45" t="inlineStr">
        <is>
          <t>Total Return on Investment</t>
        </is>
      </c>
      <c r="O32" s="21">
        <f>(L27+O29+O31+O27)/C17</f>
        <v/>
      </c>
    </row>
    <row r="33">
      <c r="A33" s="57" t="n"/>
      <c r="B33" s="74" t="n"/>
      <c r="C33" s="75" t="n"/>
      <c r="D33" s="70" t="n"/>
      <c r="E33" s="70" t="n"/>
    </row>
    <row r="34">
      <c r="A34" s="57" t="n"/>
      <c r="B34" s="74" t="n"/>
      <c r="C34" s="75" t="n"/>
      <c r="D34" s="70" t="n"/>
      <c r="E34" s="70" t="n"/>
    </row>
    <row r="35">
      <c r="A35" s="57" t="n"/>
      <c r="B35" s="74" t="n"/>
      <c r="C35" s="75" t="n"/>
      <c r="D35" s="70" t="n"/>
      <c r="E35" s="70" t="n"/>
    </row>
    <row r="36">
      <c r="A36" s="57" t="n"/>
      <c r="B36" s="74" t="n"/>
      <c r="C36" s="75" t="n"/>
      <c r="D36" s="70" t="n"/>
      <c r="E36" s="70" t="n"/>
    </row>
    <row r="37">
      <c r="A37" s="57" t="n"/>
      <c r="B37" s="74" t="n"/>
      <c r="C37" s="75" t="n"/>
      <c r="D37" s="70" t="n"/>
      <c r="E37" s="70" t="n"/>
    </row>
    <row r="38">
      <c r="A38" s="57" t="n"/>
      <c r="B38" s="74" t="n"/>
      <c r="C38" s="75" t="n"/>
      <c r="D38" s="70" t="n"/>
      <c r="E38" s="70" t="n"/>
    </row>
    <row r="39">
      <c r="A39" s="57" t="n"/>
      <c r="B39" s="74" t="n"/>
      <c r="C39" s="75" t="n"/>
      <c r="D39" s="70" t="n"/>
      <c r="E39" s="70" t="n"/>
    </row>
    <row r="40">
      <c r="A40" s="57" t="n"/>
      <c r="B40" s="74" t="n"/>
      <c r="C40" s="75" t="n"/>
      <c r="D40" s="70" t="n"/>
      <c r="E40" s="70" t="n"/>
    </row>
    <row r="41">
      <c r="A41" s="57" t="n"/>
      <c r="B41" s="74" t="n"/>
      <c r="C41" s="75" t="n"/>
      <c r="D41" s="70" t="n"/>
      <c r="E41" s="70" t="n"/>
    </row>
    <row r="42">
      <c r="A42" s="57" t="n"/>
      <c r="B42" s="57" t="n"/>
    </row>
    <row r="43">
      <c r="A43" s="57" t="n"/>
      <c r="B43" s="57" t="n"/>
    </row>
    <row r="44">
      <c r="A44" s="57" t="n"/>
      <c r="B44" s="57" t="n"/>
    </row>
    <row r="45">
      <c r="A45" s="57" t="n"/>
      <c r="B45" s="57" t="n"/>
    </row>
    <row r="46">
      <c r="A46" s="57" t="n"/>
      <c r="B46" s="57" t="n"/>
    </row>
    <row r="47">
      <c r="A47" s="57" t="n"/>
      <c r="B47" s="57" t="n"/>
    </row>
    <row r="48">
      <c r="A48" s="57" t="n"/>
      <c r="B48" s="57" t="n"/>
    </row>
    <row r="49">
      <c r="A49" s="57" t="n"/>
      <c r="B49" s="57" t="n"/>
    </row>
    <row r="50">
      <c r="A50" s="57" t="n"/>
      <c r="B50" s="57" t="n"/>
    </row>
    <row r="51">
      <c r="A51" s="57" t="n"/>
      <c r="B51" s="57" t="n"/>
    </row>
    <row r="52">
      <c r="A52" s="57" t="n"/>
      <c r="B52" s="57" t="n"/>
    </row>
    <row r="53">
      <c r="A53" s="57" t="n"/>
      <c r="B53" s="57" t="n"/>
    </row>
    <row r="54">
      <c r="A54" s="57" t="n"/>
      <c r="B54" s="57" t="n"/>
    </row>
    <row r="55">
      <c r="A55" s="57" t="n"/>
      <c r="B55" s="57" t="n"/>
    </row>
    <row r="56">
      <c r="A56" s="57" t="n"/>
      <c r="B56" s="57" t="n"/>
    </row>
    <row r="57">
      <c r="A57" s="57" t="n"/>
      <c r="B57" s="57" t="n"/>
    </row>
    <row r="58">
      <c r="A58" s="57" t="n"/>
      <c r="B58" s="57" t="n"/>
    </row>
    <row r="59">
      <c r="A59" s="57" t="n"/>
      <c r="B59" s="57" t="n"/>
    </row>
    <row r="60">
      <c r="A60" s="57" t="n"/>
      <c r="B60" s="57" t="n"/>
    </row>
    <row r="61">
      <c r="A61" s="57" t="n"/>
      <c r="B61" s="57" t="n"/>
    </row>
    <row r="62">
      <c r="A62" s="57" t="n"/>
      <c r="B62" s="57" t="n"/>
    </row>
    <row r="63">
      <c r="A63" s="57" t="n"/>
      <c r="B63" s="57" t="n"/>
    </row>
    <row r="64">
      <c r="A64" s="57" t="n"/>
      <c r="B64" s="57" t="n"/>
    </row>
    <row r="65">
      <c r="A65" s="57" t="n"/>
      <c r="B65" s="57" t="n"/>
    </row>
    <row r="66">
      <c r="A66" s="57" t="n"/>
      <c r="B66" s="57" t="n"/>
    </row>
    <row r="67">
      <c r="A67" s="57" t="n"/>
      <c r="B67" s="57" t="n"/>
    </row>
    <row r="68">
      <c r="A68" s="57" t="n"/>
      <c r="B68" s="57" t="n"/>
    </row>
    <row r="69">
      <c r="A69" s="57" t="n"/>
      <c r="B69" s="57" t="n"/>
    </row>
    <row r="70">
      <c r="A70" s="57" t="n"/>
      <c r="B70" s="57" t="n"/>
    </row>
    <row r="71">
      <c r="A71" s="57" t="n"/>
      <c r="B71" s="57" t="n"/>
    </row>
    <row r="72">
      <c r="A72" s="57" t="n"/>
      <c r="B72" s="57" t="n"/>
    </row>
    <row r="73">
      <c r="A73" s="57" t="n"/>
      <c r="B73" s="57" t="n"/>
    </row>
    <row r="74">
      <c r="A74" s="57" t="n"/>
      <c r="B74" s="57" t="n"/>
    </row>
    <row r="75">
      <c r="A75" s="57" t="n"/>
      <c r="B75" s="57" t="n"/>
    </row>
    <row r="76">
      <c r="A76" s="57" t="n"/>
      <c r="B76" s="57" t="n"/>
    </row>
    <row r="77">
      <c r="A77" s="57" t="n"/>
      <c r="B77" s="57" t="n"/>
    </row>
    <row r="78">
      <c r="A78" s="57" t="n"/>
      <c r="B78" s="57" t="n"/>
    </row>
    <row r="79">
      <c r="A79" s="57" t="n"/>
      <c r="B79" s="57" t="n"/>
    </row>
    <row r="80">
      <c r="A80" s="57" t="n"/>
      <c r="B80" s="57" t="n"/>
    </row>
    <row r="81">
      <c r="A81" s="57" t="n"/>
      <c r="B81" s="57" t="n"/>
    </row>
    <row r="82">
      <c r="A82" s="57" t="n"/>
      <c r="B82" s="57" t="n"/>
    </row>
    <row r="83">
      <c r="A83" s="57" t="n"/>
      <c r="B83" s="57" t="n"/>
    </row>
    <row r="84">
      <c r="A84" s="57" t="n"/>
      <c r="B84" s="57" t="n"/>
    </row>
    <row r="85">
      <c r="A85" s="57" t="n"/>
      <c r="B85" s="57" t="n"/>
    </row>
    <row r="86">
      <c r="A86" s="57" t="n"/>
      <c r="B86" s="57" t="n"/>
    </row>
    <row r="87">
      <c r="A87" s="57" t="n"/>
      <c r="B87" s="57" t="n"/>
    </row>
    <row r="88">
      <c r="A88" s="57" t="n"/>
      <c r="B88" s="57" t="n"/>
    </row>
    <row r="89">
      <c r="A89" s="57" t="n"/>
      <c r="B89" s="57" t="n"/>
    </row>
    <row r="90">
      <c r="A90" s="57" t="n"/>
      <c r="B90" s="57" t="n"/>
    </row>
    <row r="91">
      <c r="A91" s="57" t="n"/>
      <c r="B91" s="57" t="n"/>
    </row>
    <row r="92">
      <c r="A92" s="57" t="n"/>
      <c r="B92" s="57" t="n"/>
    </row>
    <row r="93">
      <c r="A93" s="57" t="n"/>
      <c r="B93" s="57" t="n"/>
    </row>
    <row r="94">
      <c r="A94" s="57" t="n"/>
      <c r="B94" s="57" t="n"/>
    </row>
    <row r="95">
      <c r="A95" s="57" t="n"/>
      <c r="B95" s="57" t="n"/>
    </row>
    <row r="96">
      <c r="A96" s="57" t="n"/>
      <c r="B96" s="57" t="n"/>
    </row>
    <row r="97">
      <c r="A97" s="57" t="n"/>
      <c r="B97" s="57" t="n"/>
    </row>
    <row r="98">
      <c r="A98" s="57" t="n"/>
      <c r="B98" s="57" t="n"/>
    </row>
    <row r="99">
      <c r="A99" s="57" t="n"/>
      <c r="B99" s="57" t="n"/>
    </row>
    <row r="100">
      <c r="A100" s="57" t="n"/>
      <c r="B100" s="57" t="n"/>
    </row>
    <row r="101">
      <c r="A101" s="57" t="n"/>
      <c r="B101" s="57" t="n"/>
    </row>
    <row r="102">
      <c r="A102" s="57" t="n"/>
      <c r="B102" s="57" t="n"/>
    </row>
    <row r="103">
      <c r="A103" s="57" t="n"/>
      <c r="B103" s="57" t="n"/>
    </row>
    <row r="104">
      <c r="A104" s="57" t="n"/>
      <c r="B104" s="57" t="n"/>
    </row>
    <row r="105">
      <c r="A105" s="57" t="n"/>
      <c r="B105" s="57" t="n"/>
    </row>
    <row r="106">
      <c r="A106" s="57" t="n"/>
      <c r="B106" s="57" t="n"/>
    </row>
    <row r="107">
      <c r="A107" s="57" t="n"/>
      <c r="B107" s="57" t="n"/>
    </row>
    <row r="108">
      <c r="A108" s="57" t="n"/>
      <c r="B108" s="57" t="n"/>
    </row>
    <row r="109">
      <c r="A109" s="57" t="n"/>
      <c r="B109" s="57" t="n"/>
    </row>
    <row r="110">
      <c r="A110" s="57" t="n"/>
      <c r="B110" s="57" t="n"/>
    </row>
    <row r="111">
      <c r="A111" s="57" t="n"/>
      <c r="B111" s="57" t="n"/>
    </row>
    <row r="112">
      <c r="A112" s="57" t="n"/>
      <c r="B112" s="57" t="n"/>
    </row>
    <row r="113">
      <c r="A113" s="57" t="n"/>
      <c r="B113" s="57" t="n"/>
    </row>
    <row r="114">
      <c r="A114" s="57" t="n"/>
      <c r="B114" s="57" t="n"/>
    </row>
    <row r="115">
      <c r="A115" s="57" t="n"/>
      <c r="B115" s="57" t="n"/>
    </row>
    <row r="116">
      <c r="A116" s="57" t="n"/>
      <c r="B116" s="57" t="n"/>
    </row>
    <row r="117">
      <c r="A117" s="57" t="n"/>
      <c r="B117" s="57" t="n"/>
    </row>
    <row r="118">
      <c r="A118" s="57" t="n"/>
      <c r="B118" s="57" t="n"/>
    </row>
    <row r="119">
      <c r="A119" s="57" t="n"/>
      <c r="B119" s="57" t="n"/>
    </row>
    <row r="120">
      <c r="A120" s="57" t="n"/>
      <c r="B120" s="57" t="n"/>
    </row>
    <row r="121">
      <c r="A121" s="57" t="n"/>
      <c r="B121" s="57" t="n"/>
    </row>
    <row r="122">
      <c r="A122" s="57" t="n"/>
      <c r="B122" s="57" t="n"/>
    </row>
    <row r="123">
      <c r="A123" s="57" t="n"/>
      <c r="B123" s="57" t="n"/>
    </row>
    <row r="124">
      <c r="A124" s="57" t="n"/>
      <c r="B124" s="57" t="n"/>
    </row>
    <row r="125">
      <c r="A125" s="57" t="n"/>
      <c r="B125" s="57" t="n"/>
    </row>
    <row r="126">
      <c r="A126" s="57" t="n"/>
      <c r="B126" s="57" t="n"/>
    </row>
    <row r="127">
      <c r="A127" s="57" t="n"/>
      <c r="B127" s="57" t="n"/>
    </row>
    <row r="128">
      <c r="A128" s="57" t="n"/>
      <c r="B128" s="57" t="n"/>
    </row>
    <row r="129">
      <c r="A129" s="57" t="n"/>
      <c r="B129" s="57" t="n"/>
    </row>
    <row r="130">
      <c r="A130" s="57" t="n"/>
      <c r="B130" s="57" t="n"/>
    </row>
    <row r="131">
      <c r="A131" s="57" t="n"/>
      <c r="B131" s="57" t="n"/>
    </row>
    <row r="132">
      <c r="A132" s="57" t="n"/>
      <c r="B132" s="57" t="n"/>
    </row>
    <row r="133">
      <c r="A133" s="57" t="n"/>
      <c r="B133" s="57" t="n"/>
    </row>
    <row r="134">
      <c r="A134" s="57" t="n"/>
      <c r="B134" s="57" t="n"/>
    </row>
    <row r="135">
      <c r="A135" s="57" t="n"/>
      <c r="B135" s="57" t="n"/>
    </row>
    <row r="136">
      <c r="A136" s="57" t="n"/>
      <c r="B136" s="57" t="n"/>
    </row>
    <row r="137">
      <c r="A137" s="57" t="n"/>
      <c r="B137" s="57" t="n"/>
    </row>
    <row r="138">
      <c r="A138" s="57" t="n"/>
      <c r="B138" s="57" t="n"/>
    </row>
    <row r="139">
      <c r="A139" s="57" t="n"/>
      <c r="B139" s="57" t="n"/>
    </row>
    <row r="140">
      <c r="A140" s="57" t="n"/>
      <c r="B140" s="57" t="n"/>
    </row>
    <row r="141">
      <c r="A141" s="57" t="n"/>
      <c r="B141" s="57" t="n"/>
    </row>
    <row r="142">
      <c r="A142" s="57" t="n"/>
      <c r="B142" s="57" t="n"/>
    </row>
    <row r="143">
      <c r="A143" s="57" t="n"/>
      <c r="B143" s="57" t="n"/>
    </row>
    <row r="144">
      <c r="A144" s="57" t="n"/>
      <c r="B144" s="57" t="n"/>
    </row>
    <row r="145">
      <c r="A145" s="57" t="n"/>
      <c r="B145" s="57" t="n"/>
    </row>
    <row r="146">
      <c r="A146" s="57" t="n"/>
      <c r="B146" s="57" t="n"/>
    </row>
    <row r="147">
      <c r="A147" s="57" t="n"/>
      <c r="B147" s="57" t="n"/>
    </row>
    <row r="148">
      <c r="A148" s="57" t="n"/>
      <c r="B148" s="57" t="n"/>
    </row>
    <row r="149">
      <c r="A149" s="57" t="n"/>
      <c r="B149" s="57" t="n"/>
    </row>
    <row r="150">
      <c r="A150" s="57" t="n"/>
      <c r="B150" s="57" t="n"/>
    </row>
    <row r="151">
      <c r="A151" s="57" t="n"/>
      <c r="B151" s="57" t="n"/>
    </row>
    <row r="152">
      <c r="A152" s="57" t="n"/>
      <c r="B152" s="57" t="n"/>
    </row>
    <row r="153">
      <c r="A153" s="57" t="n"/>
      <c r="B153" s="57" t="n"/>
    </row>
    <row r="154">
      <c r="A154" s="57" t="n"/>
      <c r="B154" s="57" t="n"/>
    </row>
    <row r="155">
      <c r="A155" s="57" t="n"/>
      <c r="B155" s="57" t="n"/>
    </row>
    <row r="156">
      <c r="A156" s="57" t="n"/>
      <c r="B156" s="57" t="n"/>
    </row>
    <row r="157">
      <c r="A157" s="57" t="n"/>
      <c r="B157" s="57" t="n"/>
    </row>
    <row r="158">
      <c r="A158" s="57" t="n"/>
      <c r="B158" s="57" t="n"/>
    </row>
    <row r="159">
      <c r="A159" s="57" t="n"/>
      <c r="B159" s="57" t="n"/>
    </row>
    <row r="160">
      <c r="A160" s="57" t="n"/>
      <c r="B160" s="57" t="n"/>
    </row>
    <row r="161">
      <c r="A161" s="57" t="n"/>
      <c r="B161" s="57" t="n"/>
    </row>
    <row r="162">
      <c r="A162" s="57" t="n"/>
      <c r="B162" s="57" t="n"/>
    </row>
    <row r="163">
      <c r="A163" s="57" t="n"/>
      <c r="B163" s="57" t="n"/>
    </row>
    <row r="164">
      <c r="A164" s="57" t="n"/>
      <c r="B164" s="57" t="n"/>
    </row>
    <row r="165">
      <c r="A165" s="57" t="n"/>
      <c r="B165" s="57" t="n"/>
    </row>
    <row r="166">
      <c r="A166" s="57" t="n"/>
      <c r="B166" s="57" t="n"/>
    </row>
    <row r="167">
      <c r="A167" s="57" t="n"/>
      <c r="B167" s="57" t="n"/>
    </row>
    <row r="168">
      <c r="A168" s="57" t="n"/>
      <c r="B168" s="57" t="n"/>
    </row>
    <row r="169">
      <c r="A169" s="57" t="n"/>
      <c r="B169" s="57" t="n"/>
    </row>
    <row r="170">
      <c r="A170" s="57" t="n"/>
      <c r="B170" s="57" t="n"/>
    </row>
    <row r="171">
      <c r="A171" s="57" t="n"/>
      <c r="B171" s="57" t="n"/>
    </row>
    <row r="172">
      <c r="A172" s="57" t="n"/>
      <c r="B172" s="57" t="n"/>
    </row>
    <row r="173">
      <c r="A173" s="57" t="n"/>
      <c r="B173" s="57" t="n"/>
    </row>
    <row r="174">
      <c r="A174" s="57" t="n"/>
      <c r="B174" s="57" t="n"/>
    </row>
    <row r="175">
      <c r="A175" s="57" t="n"/>
      <c r="B175" s="57" t="n"/>
    </row>
    <row r="176">
      <c r="A176" s="57" t="n"/>
      <c r="B176" s="57" t="n"/>
    </row>
    <row r="177">
      <c r="A177" s="57" t="n"/>
      <c r="B177" s="57" t="n"/>
    </row>
    <row r="178">
      <c r="A178" s="57" t="n"/>
      <c r="B178" s="57" t="n"/>
    </row>
    <row r="179">
      <c r="A179" s="57" t="n"/>
      <c r="B179" s="57" t="n"/>
    </row>
    <row r="180">
      <c r="A180" s="57" t="n"/>
      <c r="B180" s="57" t="n"/>
    </row>
    <row r="181">
      <c r="A181" s="57" t="n"/>
      <c r="B181" s="57" t="n"/>
    </row>
    <row r="182">
      <c r="A182" s="57" t="n"/>
      <c r="B182" s="57" t="n"/>
    </row>
    <row r="183">
      <c r="A183" s="57" t="n"/>
      <c r="B183" s="57" t="n"/>
    </row>
    <row r="184">
      <c r="A184" s="57" t="n"/>
      <c r="B184" s="57" t="n"/>
    </row>
    <row r="185">
      <c r="A185" s="57" t="n"/>
      <c r="B185" s="57" t="n"/>
    </row>
    <row r="186">
      <c r="A186" s="57" t="n"/>
      <c r="B186" s="57" t="n"/>
    </row>
    <row r="187">
      <c r="A187" s="57" t="n"/>
      <c r="B187" s="57" t="n"/>
    </row>
    <row r="188">
      <c r="A188" s="57" t="n"/>
      <c r="B188" s="57" t="n"/>
    </row>
    <row r="189">
      <c r="A189" s="57" t="n"/>
      <c r="B189" s="57" t="n"/>
    </row>
    <row r="190">
      <c r="A190" s="57" t="n"/>
      <c r="B190" s="57" t="n"/>
    </row>
    <row r="191">
      <c r="A191" s="57" t="n"/>
      <c r="B191" s="57" t="n"/>
    </row>
    <row r="192">
      <c r="A192" s="57" t="n"/>
      <c r="B192" s="57" t="n"/>
    </row>
    <row r="193">
      <c r="A193" s="57" t="n"/>
      <c r="B193" s="57" t="n"/>
    </row>
    <row r="194">
      <c r="A194" s="57" t="n"/>
      <c r="B194" s="57" t="n"/>
    </row>
    <row r="195">
      <c r="A195" s="57" t="n"/>
      <c r="B195" s="57" t="n"/>
    </row>
    <row r="196">
      <c r="A196" s="57" t="n"/>
      <c r="B196" s="57" t="n"/>
    </row>
    <row r="197">
      <c r="A197" s="57" t="n"/>
      <c r="B197" s="57" t="n"/>
    </row>
    <row r="198">
      <c r="A198" s="57" t="n"/>
      <c r="B198" s="57" t="n"/>
    </row>
    <row r="199">
      <c r="A199" s="57" t="n"/>
      <c r="B199" s="57" t="n"/>
    </row>
    <row r="200">
      <c r="A200" s="57" t="n"/>
      <c r="B200" s="57" t="n"/>
    </row>
    <row r="201">
      <c r="A201" s="57" t="n"/>
      <c r="B201" s="57" t="n"/>
    </row>
    <row r="202">
      <c r="A202" s="57" t="n"/>
      <c r="B202" s="57" t="n"/>
    </row>
    <row r="203">
      <c r="A203" s="57" t="n"/>
      <c r="B203" s="57" t="n"/>
    </row>
    <row r="204">
      <c r="A204" s="57" t="n"/>
      <c r="B204" s="57" t="n"/>
    </row>
    <row r="205">
      <c r="A205" s="57" t="n"/>
      <c r="B205" s="57" t="n"/>
    </row>
    <row r="206">
      <c r="A206" s="57" t="n"/>
      <c r="B206" s="57" t="n"/>
    </row>
    <row r="207">
      <c r="A207" s="57" t="n"/>
      <c r="B207" s="57" t="n"/>
    </row>
    <row r="208">
      <c r="A208" s="57" t="n"/>
      <c r="B208" s="57" t="n"/>
    </row>
    <row r="209">
      <c r="A209" s="57" t="n"/>
      <c r="B209" s="57" t="n"/>
    </row>
    <row r="210">
      <c r="A210" s="57" t="n"/>
      <c r="B210" s="57" t="n"/>
    </row>
    <row r="211">
      <c r="A211" s="57" t="n"/>
      <c r="B211" s="57" t="n"/>
    </row>
    <row r="212">
      <c r="A212" s="57" t="n"/>
      <c r="B212" s="57" t="n"/>
    </row>
    <row r="213">
      <c r="A213" s="57" t="n"/>
      <c r="B213" s="57" t="n"/>
    </row>
    <row r="214">
      <c r="A214" s="57" t="n"/>
      <c r="B214" s="57" t="n"/>
    </row>
    <row r="215">
      <c r="A215" s="57" t="n"/>
      <c r="B215" s="57" t="n"/>
    </row>
    <row r="216">
      <c r="A216" s="57" t="n"/>
      <c r="B216" s="57" t="n"/>
    </row>
    <row r="217">
      <c r="A217" s="57" t="n"/>
      <c r="B217" s="57" t="n"/>
    </row>
    <row r="218">
      <c r="A218" s="57" t="n"/>
      <c r="B218" s="57" t="n"/>
    </row>
    <row r="219">
      <c r="A219" s="57" t="n"/>
      <c r="B219" s="57" t="n"/>
    </row>
    <row r="220">
      <c r="A220" s="57" t="n"/>
      <c r="B220" s="57" t="n"/>
    </row>
    <row r="221">
      <c r="A221" s="57" t="n"/>
      <c r="B221" s="57" t="n"/>
    </row>
    <row r="222">
      <c r="A222" s="57" t="n"/>
      <c r="B222" s="57" t="n"/>
    </row>
    <row r="223">
      <c r="A223" s="57" t="n"/>
      <c r="B223" s="57" t="n"/>
    </row>
    <row r="224">
      <c r="A224" s="57" t="n"/>
      <c r="B224" s="57" t="n"/>
    </row>
    <row r="225">
      <c r="A225" s="57" t="n"/>
      <c r="B225" s="57" t="n"/>
    </row>
    <row r="226">
      <c r="A226" s="57" t="n"/>
      <c r="B226" s="57" t="n"/>
    </row>
    <row r="227">
      <c r="A227" s="57" t="n"/>
      <c r="B227" s="57" t="n"/>
    </row>
    <row r="228">
      <c r="A228" s="57" t="n"/>
      <c r="B228" s="57" t="n"/>
    </row>
    <row r="229">
      <c r="A229" s="57" t="n"/>
      <c r="B229" s="57" t="n"/>
    </row>
    <row r="230">
      <c r="A230" s="57" t="n"/>
      <c r="B230" s="57" t="n"/>
    </row>
    <row r="231">
      <c r="A231" s="57" t="n"/>
      <c r="B231" s="57" t="n"/>
    </row>
    <row r="232">
      <c r="A232" s="57" t="n"/>
      <c r="B232" s="57" t="n"/>
    </row>
    <row r="233">
      <c r="A233" s="57" t="n"/>
      <c r="B233" s="57" t="n"/>
    </row>
    <row r="234">
      <c r="A234" s="57" t="n"/>
      <c r="B234" s="57" t="n"/>
    </row>
    <row r="235">
      <c r="A235" s="57" t="n"/>
      <c r="B235" s="57" t="n"/>
    </row>
    <row r="236">
      <c r="A236" s="57" t="n"/>
      <c r="B236" s="57" t="n"/>
    </row>
    <row r="237">
      <c r="A237" s="57" t="n"/>
      <c r="B237" s="57" t="n"/>
    </row>
    <row r="238">
      <c r="A238" s="57" t="n"/>
      <c r="B238" s="57" t="n"/>
    </row>
    <row r="239">
      <c r="A239" s="57" t="n"/>
      <c r="B239" s="57" t="n"/>
    </row>
    <row r="240">
      <c r="A240" s="57" t="n"/>
      <c r="B240" s="57" t="n"/>
    </row>
    <row r="241">
      <c r="A241" s="57" t="n"/>
      <c r="B241" s="57" t="n"/>
    </row>
    <row r="242">
      <c r="A242" s="57" t="n"/>
      <c r="B242" s="57" t="n"/>
    </row>
    <row r="243">
      <c r="A243" s="57" t="n"/>
      <c r="B243" s="57" t="n"/>
    </row>
    <row r="244">
      <c r="A244" s="57" t="n"/>
      <c r="B244" s="57" t="n"/>
    </row>
    <row r="245">
      <c r="A245" s="57" t="n"/>
      <c r="B245" s="57" t="n"/>
    </row>
    <row r="246">
      <c r="A246" s="57" t="n"/>
      <c r="B246" s="57" t="n"/>
    </row>
    <row r="247">
      <c r="A247" s="57" t="n"/>
      <c r="B247" s="57" t="n"/>
    </row>
    <row r="248">
      <c r="A248" s="57" t="n"/>
      <c r="B248" s="57" t="n"/>
    </row>
    <row r="249">
      <c r="A249" s="57" t="n"/>
      <c r="B249" s="57" t="n"/>
    </row>
    <row r="250">
      <c r="A250" s="57" t="n"/>
      <c r="B250" s="57" t="n"/>
    </row>
    <row r="251">
      <c r="A251" s="57" t="n"/>
      <c r="B251" s="57" t="n"/>
    </row>
    <row r="252">
      <c r="A252" s="57" t="n"/>
      <c r="B252" s="57" t="n"/>
    </row>
    <row r="253">
      <c r="A253" s="57" t="n"/>
      <c r="B253" s="57" t="n"/>
    </row>
    <row r="254">
      <c r="A254" s="57" t="n"/>
      <c r="B254" s="57" t="n"/>
    </row>
    <row r="255">
      <c r="A255" s="57" t="n"/>
      <c r="B255" s="57" t="n"/>
    </row>
    <row r="256">
      <c r="A256" s="57" t="n"/>
      <c r="B256" s="57" t="n"/>
    </row>
    <row r="257">
      <c r="A257" s="57" t="n"/>
      <c r="B257" s="57" t="n"/>
    </row>
    <row r="258">
      <c r="A258" s="57" t="n"/>
      <c r="B258" s="57" t="n"/>
    </row>
    <row r="259">
      <c r="A259" s="57" t="n"/>
      <c r="B259" s="57" t="n"/>
    </row>
    <row r="260">
      <c r="A260" s="57" t="n"/>
      <c r="B260" s="57" t="n"/>
    </row>
    <row r="261">
      <c r="A261" s="57" t="n"/>
      <c r="B261" s="57" t="n"/>
    </row>
    <row r="262">
      <c r="A262" s="57" t="n"/>
      <c r="B262" s="57" t="n"/>
    </row>
    <row r="263">
      <c r="A263" s="57" t="n"/>
      <c r="B263" s="57" t="n"/>
    </row>
    <row r="264">
      <c r="A264" s="57" t="n"/>
      <c r="B264" s="57" t="n"/>
    </row>
    <row r="265">
      <c r="A265" s="57" t="n"/>
      <c r="B265" s="57" t="n"/>
    </row>
    <row r="266">
      <c r="A266" s="57" t="n"/>
      <c r="B266" s="57" t="n"/>
    </row>
    <row r="267">
      <c r="A267" s="57" t="n"/>
      <c r="B267" s="57" t="n"/>
    </row>
    <row r="268">
      <c r="A268" s="57" t="n"/>
      <c r="B268" s="57" t="n"/>
    </row>
    <row r="269">
      <c r="A269" s="57" t="n"/>
      <c r="B269" s="57" t="n"/>
    </row>
    <row r="270">
      <c r="A270" s="57" t="n"/>
      <c r="B270" s="57" t="n"/>
    </row>
    <row r="271">
      <c r="A271" s="57" t="n"/>
      <c r="B271" s="57" t="n"/>
    </row>
    <row r="272">
      <c r="A272" s="57" t="n"/>
      <c r="B272" s="57" t="n"/>
    </row>
    <row r="273">
      <c r="A273" s="57" t="n"/>
      <c r="B273" s="57" t="n"/>
    </row>
    <row r="274">
      <c r="A274" s="57" t="n"/>
      <c r="B274" s="57" t="n"/>
    </row>
    <row r="275">
      <c r="A275" s="57" t="n"/>
      <c r="B275" s="57" t="n"/>
    </row>
    <row r="276">
      <c r="A276" s="57" t="n"/>
      <c r="B276" s="57" t="n"/>
    </row>
    <row r="277">
      <c r="A277" s="57" t="n"/>
      <c r="B277" s="57" t="n"/>
    </row>
    <row r="278">
      <c r="A278" s="57" t="n"/>
      <c r="B278" s="57" t="n"/>
    </row>
    <row r="279">
      <c r="A279" s="57" t="n"/>
      <c r="B279" s="57" t="n"/>
    </row>
    <row r="280">
      <c r="A280" s="57" t="n"/>
      <c r="B280" s="57" t="n"/>
    </row>
    <row r="281">
      <c r="A281" s="57" t="n"/>
      <c r="B281" s="57" t="n"/>
    </row>
    <row r="282">
      <c r="A282" s="57" t="n"/>
      <c r="B282" s="57" t="n"/>
    </row>
    <row r="283">
      <c r="A283" s="57" t="n"/>
      <c r="B283" s="57" t="n"/>
    </row>
    <row r="284">
      <c r="A284" s="57" t="n"/>
      <c r="B284" s="57" t="n"/>
    </row>
    <row r="285">
      <c r="A285" s="57" t="n"/>
      <c r="B285" s="57" t="n"/>
    </row>
    <row r="286">
      <c r="A286" s="57" t="n"/>
      <c r="B286" s="57" t="n"/>
    </row>
    <row r="287">
      <c r="A287" s="57" t="n"/>
      <c r="B287" s="57" t="n"/>
    </row>
    <row r="288">
      <c r="A288" s="57" t="n"/>
      <c r="B288" s="57" t="n"/>
    </row>
    <row r="289">
      <c r="A289" s="57" t="n"/>
      <c r="B289" s="57" t="n"/>
    </row>
    <row r="290">
      <c r="A290" s="57" t="n"/>
      <c r="B290" s="57" t="n"/>
    </row>
    <row r="291">
      <c r="A291" s="57" t="n"/>
      <c r="B291" s="57" t="n"/>
    </row>
    <row r="292">
      <c r="A292" s="57" t="n"/>
      <c r="B292" s="57" t="n"/>
    </row>
    <row r="293">
      <c r="A293" s="57" t="n"/>
      <c r="B293" s="57" t="n"/>
    </row>
    <row r="294">
      <c r="A294" s="57" t="n"/>
      <c r="B294" s="57" t="n"/>
    </row>
    <row r="295">
      <c r="A295" s="57" t="n"/>
      <c r="B295" s="57" t="n"/>
    </row>
    <row r="296">
      <c r="A296" s="57" t="n"/>
      <c r="B296" s="57" t="n"/>
    </row>
    <row r="297">
      <c r="A297" s="57" t="n"/>
      <c r="B297" s="57" t="n"/>
    </row>
    <row r="298">
      <c r="A298" s="57" t="n"/>
      <c r="B298" s="57" t="n"/>
    </row>
    <row r="299">
      <c r="A299" s="57" t="n"/>
      <c r="B299" s="57" t="n"/>
    </row>
    <row r="300">
      <c r="A300" s="57" t="n"/>
      <c r="B300" s="57" t="n"/>
    </row>
    <row r="301">
      <c r="A301" s="57" t="n"/>
      <c r="B301" s="57" t="n"/>
    </row>
    <row r="302">
      <c r="A302" s="57" t="n"/>
      <c r="B302" s="57" t="n"/>
    </row>
    <row r="303">
      <c r="A303" s="57" t="n"/>
      <c r="B303" s="57" t="n"/>
    </row>
    <row r="304">
      <c r="A304" s="57" t="n"/>
      <c r="B304" s="57" t="n"/>
    </row>
    <row r="305">
      <c r="A305" s="57" t="n"/>
      <c r="B305" s="57" t="n"/>
    </row>
    <row r="306">
      <c r="A306" s="57" t="n"/>
      <c r="B306" s="57" t="n"/>
    </row>
    <row r="307">
      <c r="A307" s="57" t="n"/>
      <c r="B307" s="57" t="n"/>
    </row>
    <row r="308">
      <c r="A308" s="57" t="n"/>
      <c r="B308" s="57" t="n"/>
    </row>
    <row r="309">
      <c r="A309" s="57" t="n"/>
      <c r="B309" s="57" t="n"/>
    </row>
    <row r="310">
      <c r="A310" s="57" t="n"/>
      <c r="B310" s="57" t="n"/>
    </row>
    <row r="311">
      <c r="A311" s="57" t="n"/>
      <c r="B311" s="57" t="n"/>
    </row>
    <row r="312">
      <c r="A312" s="57" t="n"/>
      <c r="B312" s="57" t="n"/>
    </row>
    <row r="313">
      <c r="A313" s="57" t="n"/>
      <c r="B313" s="57" t="n"/>
    </row>
    <row r="314">
      <c r="A314" s="57" t="n"/>
      <c r="B314" s="57" t="n"/>
    </row>
    <row r="315">
      <c r="A315" s="57" t="n"/>
      <c r="B315" s="57" t="n"/>
    </row>
    <row r="316">
      <c r="A316" s="57" t="n"/>
      <c r="B316" s="57" t="n"/>
    </row>
    <row r="317">
      <c r="A317" s="57" t="n"/>
      <c r="B317" s="57" t="n"/>
    </row>
    <row r="318">
      <c r="A318" s="57" t="n"/>
      <c r="B318" s="57" t="n"/>
    </row>
    <row r="319">
      <c r="A319" s="57" t="n"/>
      <c r="B319" s="57" t="n"/>
    </row>
    <row r="320">
      <c r="A320" s="57" t="n"/>
      <c r="B320" s="57" t="n"/>
    </row>
    <row r="321">
      <c r="A321" s="57" t="n"/>
      <c r="B321" s="57" t="n"/>
    </row>
    <row r="322">
      <c r="A322" s="57" t="n"/>
      <c r="B322" s="57" t="n"/>
    </row>
    <row r="323">
      <c r="A323" s="57" t="n"/>
      <c r="B323" s="57" t="n"/>
    </row>
    <row r="324">
      <c r="A324" s="57" t="n"/>
      <c r="B324" s="57" t="n"/>
    </row>
    <row r="325">
      <c r="A325" s="57" t="n"/>
      <c r="B325" s="57" t="n"/>
    </row>
    <row r="326">
      <c r="A326" s="57" t="n"/>
      <c r="B326" s="57" t="n"/>
    </row>
    <row r="327">
      <c r="A327" s="57" t="n"/>
      <c r="B327" s="57" t="n"/>
    </row>
    <row r="328">
      <c r="A328" s="57" t="n"/>
      <c r="B328" s="57" t="n"/>
    </row>
    <row r="329">
      <c r="A329" s="57" t="n"/>
      <c r="B329" s="57" t="n"/>
    </row>
    <row r="330">
      <c r="A330" s="57" t="n"/>
      <c r="B330" s="57" t="n"/>
    </row>
    <row r="331">
      <c r="A331" s="57" t="n"/>
      <c r="B331" s="57" t="n"/>
    </row>
    <row r="332">
      <c r="A332" s="57" t="n"/>
      <c r="B332" s="57" t="n"/>
    </row>
    <row r="333">
      <c r="A333" s="57" t="n"/>
      <c r="B333" s="57" t="n"/>
    </row>
    <row r="334">
      <c r="A334" s="57" t="n"/>
      <c r="B334" s="57" t="n"/>
    </row>
    <row r="335">
      <c r="A335" s="57" t="n"/>
      <c r="B335" s="57" t="n"/>
    </row>
    <row r="336">
      <c r="A336" s="57" t="n"/>
      <c r="B336" s="57" t="n"/>
    </row>
    <row r="337">
      <c r="A337" s="57" t="n"/>
      <c r="B337" s="57" t="n"/>
    </row>
    <row r="338">
      <c r="A338" s="57" t="n"/>
      <c r="B338" s="57" t="n"/>
    </row>
    <row r="339">
      <c r="A339" s="57" t="n"/>
      <c r="B339" s="57" t="n"/>
    </row>
    <row r="340">
      <c r="A340" s="57" t="n"/>
      <c r="B340" s="57" t="n"/>
    </row>
    <row r="341">
      <c r="A341" s="57" t="n"/>
      <c r="B341" s="57" t="n"/>
    </row>
    <row r="342">
      <c r="A342" s="57" t="n"/>
      <c r="B342" s="57" t="n"/>
    </row>
    <row r="343">
      <c r="A343" s="57" t="n"/>
      <c r="B343" s="57" t="n"/>
    </row>
    <row r="344">
      <c r="A344" s="57" t="n"/>
      <c r="B344" s="57" t="n"/>
    </row>
    <row r="345">
      <c r="A345" s="57" t="n"/>
      <c r="B345" s="57" t="n"/>
    </row>
    <row r="346">
      <c r="A346" s="57" t="n"/>
      <c r="B346" s="57" t="n"/>
    </row>
    <row r="347">
      <c r="A347" s="57" t="n"/>
      <c r="B347" s="57" t="n"/>
    </row>
    <row r="348">
      <c r="A348" s="57" t="n"/>
      <c r="B348" s="57" t="n"/>
    </row>
    <row r="349">
      <c r="A349" s="57" t="n"/>
      <c r="B349" s="57" t="n"/>
    </row>
    <row r="350">
      <c r="A350" s="57" t="n"/>
      <c r="B350" s="57" t="n"/>
    </row>
    <row r="351">
      <c r="A351" s="57" t="n"/>
      <c r="B351" s="57" t="n"/>
    </row>
    <row r="352">
      <c r="A352" s="57" t="n"/>
      <c r="B352" s="57" t="n"/>
    </row>
    <row r="353">
      <c r="A353" s="57" t="n"/>
      <c r="B353" s="57" t="n"/>
    </row>
    <row r="354">
      <c r="A354" s="57" t="n"/>
      <c r="B354" s="57" t="n"/>
    </row>
    <row r="355">
      <c r="A355" s="57" t="n"/>
      <c r="B355" s="57" t="n"/>
    </row>
    <row r="356">
      <c r="A356" s="57" t="n"/>
      <c r="B356" s="57" t="n"/>
    </row>
    <row r="357">
      <c r="A357" s="57" t="n"/>
      <c r="B357" s="57" t="n"/>
    </row>
    <row r="358">
      <c r="A358" s="57" t="n"/>
      <c r="B358" s="57" t="n"/>
    </row>
    <row r="359">
      <c r="A359" s="57" t="n"/>
      <c r="B359" s="57" t="n"/>
    </row>
    <row r="360">
      <c r="A360" s="57" t="n"/>
      <c r="B360" s="57" t="n"/>
    </row>
    <row r="361">
      <c r="A361" s="57" t="n"/>
      <c r="B361" s="57" t="n"/>
    </row>
    <row r="362">
      <c r="A362" s="57" t="n"/>
      <c r="B362" s="57" t="n"/>
    </row>
    <row r="363">
      <c r="A363" s="57" t="n"/>
      <c r="B363" s="57" t="n"/>
    </row>
    <row r="364">
      <c r="A364" s="57" t="n"/>
      <c r="B364" s="57" t="n"/>
    </row>
    <row r="365">
      <c r="A365" s="57" t="n"/>
      <c r="B365" s="57" t="n"/>
    </row>
    <row r="366">
      <c r="A366" s="57" t="n"/>
      <c r="B366" s="57" t="n"/>
    </row>
    <row r="367">
      <c r="A367" s="57" t="n"/>
      <c r="B367" s="57" t="n"/>
    </row>
    <row r="368">
      <c r="A368" s="57" t="n"/>
      <c r="B368" s="57" t="n"/>
    </row>
    <row r="369">
      <c r="A369" s="57" t="n"/>
      <c r="B369" s="57" t="n"/>
    </row>
    <row r="370">
      <c r="A370" s="57" t="n"/>
      <c r="B370" s="57" t="n"/>
    </row>
    <row r="371">
      <c r="A371" s="57" t="n"/>
      <c r="B371" s="57" t="n"/>
    </row>
    <row r="372">
      <c r="A372" s="57" t="n"/>
      <c r="B372" s="57" t="n"/>
    </row>
    <row r="373">
      <c r="A373" s="57" t="n"/>
      <c r="B373" s="57" t="n"/>
    </row>
    <row r="374">
      <c r="A374" s="57" t="n"/>
      <c r="B374" s="57" t="n"/>
    </row>
    <row r="375">
      <c r="A375" s="57" t="n"/>
      <c r="B375" s="57" t="n"/>
    </row>
    <row r="376">
      <c r="A376" s="57" t="n"/>
      <c r="B376" s="57" t="n"/>
    </row>
    <row r="377">
      <c r="A377" s="57" t="n"/>
      <c r="B377" s="57" t="n"/>
    </row>
    <row r="378">
      <c r="A378" s="57" t="n"/>
      <c r="B378" s="57" t="n"/>
    </row>
    <row r="379">
      <c r="A379" s="57" t="n"/>
      <c r="B379" s="57" t="n"/>
    </row>
    <row r="380">
      <c r="A380" s="57" t="n"/>
      <c r="B380" s="57" t="n"/>
    </row>
    <row r="381">
      <c r="A381" s="57" t="n"/>
      <c r="B381" s="57" t="n"/>
    </row>
    <row r="382">
      <c r="A382" s="57" t="n"/>
      <c r="B382" s="57" t="n"/>
    </row>
    <row r="383">
      <c r="A383" s="57" t="n"/>
      <c r="B383" s="57" t="n"/>
    </row>
    <row r="384">
      <c r="A384" s="57" t="n"/>
      <c r="B384" s="57" t="n"/>
    </row>
    <row r="385">
      <c r="A385" s="57" t="n"/>
      <c r="B385" s="57" t="n"/>
    </row>
    <row r="386">
      <c r="A386" s="57" t="n"/>
      <c r="B386" s="57" t="n"/>
    </row>
    <row r="387">
      <c r="A387" s="57" t="n"/>
      <c r="B387" s="57" t="n"/>
    </row>
    <row r="388">
      <c r="A388" s="57" t="n"/>
      <c r="B388" s="57" t="n"/>
    </row>
    <row r="389">
      <c r="A389" s="57" t="n"/>
      <c r="B389" s="57" t="n"/>
    </row>
    <row r="390">
      <c r="A390" s="57" t="n"/>
      <c r="B390" s="57" t="n"/>
    </row>
    <row r="391">
      <c r="A391" s="57" t="n"/>
      <c r="B391" s="57" t="n"/>
    </row>
    <row r="392">
      <c r="A392" s="57" t="n"/>
      <c r="B392" s="57" t="n"/>
    </row>
    <row r="393">
      <c r="A393" s="57" t="n"/>
      <c r="B393" s="57" t="n"/>
    </row>
    <row r="394">
      <c r="A394" s="57" t="n"/>
      <c r="B394" s="57" t="n"/>
    </row>
    <row r="395">
      <c r="A395" s="57" t="n"/>
      <c r="B395" s="57" t="n"/>
    </row>
    <row r="396">
      <c r="A396" s="57" t="n"/>
      <c r="B396" s="57" t="n"/>
    </row>
    <row r="397">
      <c r="A397" s="57" t="n"/>
      <c r="B397" s="57" t="n"/>
    </row>
    <row r="398">
      <c r="A398" s="57" t="n"/>
      <c r="B398" s="57" t="n"/>
    </row>
    <row r="399">
      <c r="A399" s="57" t="n"/>
      <c r="B399" s="57" t="n"/>
    </row>
    <row r="400">
      <c r="A400" s="57" t="n"/>
      <c r="B400" s="57" t="n"/>
    </row>
    <row r="401">
      <c r="A401" s="57" t="n"/>
      <c r="B401" s="57" t="n"/>
    </row>
    <row r="402">
      <c r="A402" s="57" t="n"/>
      <c r="B402" s="57" t="n"/>
    </row>
    <row r="403">
      <c r="A403" s="57" t="n"/>
      <c r="B403" s="57" t="n"/>
    </row>
    <row r="404">
      <c r="A404" s="57" t="n"/>
      <c r="B404" s="57" t="n"/>
    </row>
    <row r="405">
      <c r="A405" s="57" t="n"/>
      <c r="B405" s="57" t="n"/>
    </row>
    <row r="406">
      <c r="A406" s="57" t="n"/>
      <c r="B406" s="57" t="n"/>
    </row>
    <row r="407">
      <c r="A407" s="57" t="n"/>
      <c r="B407" s="57" t="n"/>
    </row>
    <row r="408">
      <c r="A408" s="57" t="n"/>
      <c r="B408" s="57" t="n"/>
    </row>
    <row r="409">
      <c r="A409" s="57" t="n"/>
      <c r="B409" s="57" t="n"/>
    </row>
    <row r="410">
      <c r="A410" s="57" t="n"/>
      <c r="B410" s="57" t="n"/>
    </row>
    <row r="411">
      <c r="A411" s="57" t="n"/>
      <c r="B411" s="57" t="n"/>
    </row>
    <row r="412">
      <c r="A412" s="57" t="n"/>
      <c r="B412" s="57" t="n"/>
    </row>
    <row r="413">
      <c r="A413" s="57" t="n"/>
      <c r="B413" s="57" t="n"/>
    </row>
    <row r="414">
      <c r="A414" s="57" t="n"/>
      <c r="B414" s="57" t="n"/>
    </row>
    <row r="415">
      <c r="A415" s="57" t="n"/>
      <c r="B415" s="57" t="n"/>
    </row>
    <row r="416">
      <c r="A416" s="57" t="n"/>
      <c r="B416" s="57" t="n"/>
    </row>
    <row r="417">
      <c r="A417" s="57" t="n"/>
      <c r="B417" s="57" t="n"/>
    </row>
    <row r="418">
      <c r="A418" s="57" t="n"/>
      <c r="B418" s="57" t="n"/>
    </row>
    <row r="419">
      <c r="A419" s="57" t="n"/>
      <c r="B419" s="57" t="n"/>
    </row>
    <row r="420">
      <c r="A420" s="57" t="n"/>
      <c r="B420" s="57" t="n"/>
    </row>
    <row r="421">
      <c r="A421" s="57" t="n"/>
      <c r="B421" s="57" t="n"/>
    </row>
    <row r="422">
      <c r="A422" s="57" t="n"/>
      <c r="B422" s="57" t="n"/>
    </row>
    <row r="423">
      <c r="A423" s="57" t="n"/>
      <c r="B423" s="57" t="n"/>
    </row>
    <row r="424">
      <c r="A424" s="57" t="n"/>
      <c r="B424" s="57" t="n"/>
    </row>
    <row r="425">
      <c r="A425" s="57" t="n"/>
      <c r="B425" s="57" t="n"/>
    </row>
    <row r="426">
      <c r="A426" s="57" t="n"/>
      <c r="B426" s="57" t="n"/>
    </row>
    <row r="427">
      <c r="A427" s="57" t="n"/>
      <c r="B427" s="57" t="n"/>
    </row>
    <row r="428">
      <c r="A428" s="57" t="n"/>
      <c r="B428" s="57" t="n"/>
    </row>
    <row r="429">
      <c r="A429" s="57" t="n"/>
      <c r="B429" s="57" t="n"/>
    </row>
    <row r="430">
      <c r="A430" s="57" t="n"/>
      <c r="B430" s="57" t="n"/>
    </row>
    <row r="431">
      <c r="A431" s="57" t="n"/>
      <c r="B431" s="57" t="n"/>
    </row>
    <row r="432">
      <c r="A432" s="57" t="n"/>
      <c r="B432" s="57" t="n"/>
    </row>
    <row r="433">
      <c r="A433" s="57" t="n"/>
      <c r="B433" s="57" t="n"/>
    </row>
    <row r="434">
      <c r="A434" s="57" t="n"/>
      <c r="B434" s="57" t="n"/>
    </row>
    <row r="435">
      <c r="A435" s="57" t="n"/>
      <c r="B435" s="57" t="n"/>
    </row>
    <row r="436">
      <c r="A436" s="57" t="n"/>
      <c r="B436" s="57" t="n"/>
    </row>
    <row r="437">
      <c r="A437" s="57" t="n"/>
      <c r="B437" s="57" t="n"/>
    </row>
    <row r="438">
      <c r="A438" s="57" t="n"/>
      <c r="B438" s="57" t="n"/>
    </row>
    <row r="439">
      <c r="A439" s="57" t="n"/>
      <c r="B439" s="57" t="n"/>
    </row>
    <row r="440">
      <c r="A440" s="57" t="n"/>
      <c r="B440" s="57" t="n"/>
    </row>
    <row r="441">
      <c r="A441" s="57" t="n"/>
      <c r="B441" s="57" t="n"/>
    </row>
    <row r="442">
      <c r="A442" s="57" t="n"/>
      <c r="B442" s="57" t="n"/>
    </row>
    <row r="443">
      <c r="A443" s="57" t="n"/>
      <c r="B443" s="57" t="n"/>
    </row>
    <row r="444">
      <c r="A444" s="57" t="n"/>
      <c r="B444" s="57" t="n"/>
    </row>
    <row r="445">
      <c r="A445" s="57" t="n"/>
      <c r="B445" s="57" t="n"/>
    </row>
    <row r="446">
      <c r="A446" s="57" t="n"/>
      <c r="B446" s="57" t="n"/>
    </row>
    <row r="447">
      <c r="A447" s="57" t="n"/>
      <c r="B447" s="57" t="n"/>
    </row>
    <row r="448">
      <c r="A448" s="57" t="n"/>
      <c r="B448" s="57" t="n"/>
    </row>
    <row r="449">
      <c r="A449" s="57" t="n"/>
      <c r="B449" s="57" t="n"/>
    </row>
    <row r="450">
      <c r="A450" s="57" t="n"/>
      <c r="B450" s="57" t="n"/>
    </row>
    <row r="451">
      <c r="A451" s="57" t="n"/>
      <c r="B451" s="57" t="n"/>
    </row>
    <row r="452">
      <c r="A452" s="57" t="n"/>
      <c r="B452" s="57" t="n"/>
    </row>
    <row r="453">
      <c r="A453" s="57" t="n"/>
      <c r="B453" s="57" t="n"/>
    </row>
    <row r="454">
      <c r="A454" s="57" t="n"/>
      <c r="B454" s="57" t="n"/>
    </row>
    <row r="455">
      <c r="A455" s="57" t="n"/>
      <c r="B455" s="57" t="n"/>
    </row>
    <row r="456">
      <c r="A456" s="57" t="n"/>
      <c r="B456" s="57" t="n"/>
    </row>
    <row r="457">
      <c r="A457" s="57" t="n"/>
      <c r="B457" s="57" t="n"/>
    </row>
    <row r="458">
      <c r="A458" s="57" t="n"/>
      <c r="B458" s="57" t="n"/>
    </row>
    <row r="459">
      <c r="A459" s="57" t="n"/>
      <c r="B459" s="57" t="n"/>
    </row>
    <row r="460">
      <c r="A460" s="57" t="n"/>
      <c r="B460" s="57" t="n"/>
    </row>
    <row r="461">
      <c r="A461" s="57" t="n"/>
      <c r="B461" s="57" t="n"/>
    </row>
    <row r="462">
      <c r="A462" s="57" t="n"/>
      <c r="B462" s="57" t="n"/>
    </row>
    <row r="463">
      <c r="A463" s="57" t="n"/>
      <c r="B463" s="57" t="n"/>
    </row>
    <row r="464">
      <c r="A464" s="57" t="n"/>
      <c r="B464" s="57" t="n"/>
    </row>
    <row r="465">
      <c r="A465" s="57" t="n"/>
      <c r="B465" s="57" t="n"/>
    </row>
    <row r="466">
      <c r="A466" s="57" t="n"/>
      <c r="B466" s="57" t="n"/>
    </row>
    <row r="467">
      <c r="A467" s="57" t="n"/>
      <c r="B467" s="57" t="n"/>
    </row>
    <row r="468">
      <c r="A468" s="57" t="n"/>
      <c r="B468" s="57" t="n"/>
    </row>
    <row r="469">
      <c r="A469" s="57" t="n"/>
      <c r="B469" s="57" t="n"/>
    </row>
    <row r="470">
      <c r="A470" s="57" t="n"/>
      <c r="B470" s="57" t="n"/>
    </row>
    <row r="471">
      <c r="A471" s="57" t="n"/>
      <c r="B471" s="57" t="n"/>
    </row>
    <row r="472">
      <c r="A472" s="57" t="n"/>
      <c r="B472" s="57" t="n"/>
    </row>
    <row r="473">
      <c r="A473" s="57" t="n"/>
      <c r="B473" s="57" t="n"/>
    </row>
    <row r="474">
      <c r="A474" s="57" t="n"/>
      <c r="B474" s="57" t="n"/>
    </row>
    <row r="475">
      <c r="A475" s="57" t="n"/>
      <c r="B475" s="57" t="n"/>
    </row>
    <row r="476">
      <c r="A476" s="57" t="n"/>
      <c r="B476" s="57" t="n"/>
    </row>
    <row r="477">
      <c r="A477" s="57" t="n"/>
      <c r="B477" s="57" t="n"/>
    </row>
    <row r="478">
      <c r="A478" s="57" t="n"/>
      <c r="B478" s="57" t="n"/>
    </row>
    <row r="479">
      <c r="A479" s="57" t="n"/>
      <c r="B479" s="57" t="n"/>
    </row>
    <row r="480">
      <c r="A480" s="57" t="n"/>
      <c r="B480" s="57" t="n"/>
    </row>
    <row r="481">
      <c r="A481" s="57" t="n"/>
      <c r="B481" s="57" t="n"/>
    </row>
    <row r="482">
      <c r="A482" s="57" t="n"/>
      <c r="B482" s="57" t="n"/>
    </row>
    <row r="483">
      <c r="A483" s="57" t="n"/>
      <c r="B483" s="57" t="n"/>
    </row>
    <row r="484">
      <c r="A484" s="57" t="n"/>
      <c r="B484" s="57" t="n"/>
    </row>
    <row r="485">
      <c r="A485" s="57" t="n"/>
      <c r="B485" s="57" t="n"/>
    </row>
    <row r="486">
      <c r="A486" s="57" t="n"/>
      <c r="B486" s="57" t="n"/>
    </row>
    <row r="487">
      <c r="A487" s="57" t="n"/>
      <c r="B487" s="57" t="n"/>
    </row>
    <row r="488">
      <c r="A488" s="57" t="n"/>
      <c r="B488" s="57" t="n"/>
    </row>
    <row r="489">
      <c r="A489" s="57" t="n"/>
      <c r="B489" s="57" t="n"/>
    </row>
    <row r="490">
      <c r="A490" s="57" t="n"/>
      <c r="B490" s="57" t="n"/>
    </row>
    <row r="491">
      <c r="A491" s="57" t="n"/>
      <c r="B491" s="57" t="n"/>
    </row>
    <row r="492">
      <c r="A492" s="57" t="n"/>
      <c r="B492" s="57" t="n"/>
    </row>
    <row r="493">
      <c r="A493" s="57" t="n"/>
      <c r="B493" s="57" t="n"/>
    </row>
    <row r="494">
      <c r="A494" s="57" t="n"/>
      <c r="B494" s="57" t="n"/>
    </row>
    <row r="495">
      <c r="A495" s="57" t="n"/>
      <c r="B495" s="57" t="n"/>
    </row>
    <row r="496">
      <c r="A496" s="57" t="n"/>
      <c r="B496" s="57" t="n"/>
    </row>
    <row r="497">
      <c r="A497" s="57" t="n"/>
      <c r="B497" s="57" t="n"/>
    </row>
    <row r="498">
      <c r="A498" s="57" t="n"/>
      <c r="B498" s="57" t="n"/>
    </row>
    <row r="499">
      <c r="A499" s="57" t="n"/>
      <c r="B499" s="57" t="n"/>
    </row>
    <row r="500">
      <c r="A500" s="57" t="n"/>
      <c r="B500" s="57" t="n"/>
    </row>
    <row r="501">
      <c r="A501" s="57" t="n"/>
      <c r="B501" s="57" t="n"/>
    </row>
    <row r="502">
      <c r="A502" s="57" t="n"/>
      <c r="B502" s="57" t="n"/>
    </row>
    <row r="503">
      <c r="A503" s="57" t="n"/>
      <c r="B503" s="57" t="n"/>
    </row>
    <row r="504">
      <c r="A504" s="57" t="n"/>
      <c r="B504" s="57" t="n"/>
    </row>
    <row r="505">
      <c r="A505" s="57" t="n"/>
      <c r="B505" s="57" t="n"/>
    </row>
    <row r="506">
      <c r="A506" s="57" t="n"/>
      <c r="B506" s="57" t="n"/>
    </row>
    <row r="507">
      <c r="A507" s="57" t="n"/>
      <c r="B507" s="57" t="n"/>
    </row>
    <row r="508">
      <c r="A508" s="57" t="n"/>
      <c r="B508" s="57" t="n"/>
    </row>
    <row r="509">
      <c r="A509" s="57" t="n"/>
      <c r="B509" s="57" t="n"/>
    </row>
    <row r="510">
      <c r="A510" s="57" t="n"/>
      <c r="B510" s="57" t="n"/>
    </row>
    <row r="511">
      <c r="A511" s="57" t="n"/>
      <c r="B511" s="57" t="n"/>
    </row>
    <row r="512">
      <c r="A512" s="57" t="n"/>
      <c r="B512" s="57" t="n"/>
    </row>
    <row r="513">
      <c r="A513" s="57" t="n"/>
      <c r="B513" s="57" t="n"/>
    </row>
    <row r="514">
      <c r="A514" s="57" t="n"/>
      <c r="B514" s="57" t="n"/>
    </row>
    <row r="515">
      <c r="A515" s="57" t="n"/>
      <c r="B515" s="57" t="n"/>
    </row>
    <row r="516">
      <c r="A516" s="57" t="n"/>
      <c r="B516" s="57" t="n"/>
    </row>
    <row r="517">
      <c r="A517" s="57" t="n"/>
      <c r="B517" s="57" t="n"/>
    </row>
    <row r="518">
      <c r="A518" s="57" t="n"/>
      <c r="B518" s="57" t="n"/>
    </row>
    <row r="519">
      <c r="A519" s="57" t="n"/>
      <c r="B519" s="57" t="n"/>
    </row>
    <row r="520">
      <c r="A520" s="57" t="n"/>
      <c r="B520" s="57" t="n"/>
    </row>
    <row r="521">
      <c r="A521" s="57" t="n"/>
      <c r="B521" s="57" t="n"/>
    </row>
    <row r="522">
      <c r="A522" s="57" t="n"/>
      <c r="B522" s="57" t="n"/>
    </row>
    <row r="523">
      <c r="A523" s="57" t="n"/>
      <c r="B523" s="57" t="n"/>
    </row>
    <row r="524">
      <c r="A524" s="57" t="n"/>
      <c r="B524" s="57" t="n"/>
    </row>
    <row r="525">
      <c r="A525" s="57" t="n"/>
      <c r="B525" s="57" t="n"/>
    </row>
    <row r="526">
      <c r="A526" s="57" t="n"/>
      <c r="B526" s="57" t="n"/>
    </row>
    <row r="527">
      <c r="A527" s="57" t="n"/>
      <c r="B527" s="57" t="n"/>
    </row>
    <row r="528">
      <c r="A528" s="57" t="n"/>
      <c r="B528" s="57" t="n"/>
    </row>
    <row r="529">
      <c r="A529" s="57" t="n"/>
      <c r="B529" s="57" t="n"/>
    </row>
    <row r="530">
      <c r="A530" s="57" t="n"/>
      <c r="B530" s="57" t="n"/>
    </row>
    <row r="531">
      <c r="A531" s="57" t="n"/>
      <c r="B531" s="57" t="n"/>
    </row>
    <row r="532">
      <c r="A532" s="57" t="n"/>
      <c r="B532" s="57" t="n"/>
    </row>
    <row r="533">
      <c r="A533" s="57" t="n"/>
      <c r="B533" s="57" t="n"/>
    </row>
    <row r="534">
      <c r="A534" s="57" t="n"/>
      <c r="B534" s="57" t="n"/>
    </row>
    <row r="535">
      <c r="A535" s="57" t="n"/>
      <c r="B535" s="57" t="n"/>
    </row>
    <row r="536">
      <c r="A536" s="57" t="n"/>
      <c r="B536" s="57" t="n"/>
    </row>
    <row r="537">
      <c r="A537" s="57" t="n"/>
      <c r="B537" s="57" t="n"/>
    </row>
    <row r="538">
      <c r="A538" s="57" t="n"/>
      <c r="B538" s="57" t="n"/>
    </row>
    <row r="539">
      <c r="A539" s="57" t="n"/>
      <c r="B539" s="57" t="n"/>
    </row>
    <row r="540">
      <c r="A540" s="57" t="n"/>
      <c r="B540" s="57" t="n"/>
    </row>
    <row r="541">
      <c r="A541" s="57" t="n"/>
      <c r="B541" s="57" t="n"/>
    </row>
    <row r="542">
      <c r="A542" s="57" t="n"/>
      <c r="B542" s="57" t="n"/>
    </row>
    <row r="543">
      <c r="A543" s="57" t="n"/>
      <c r="B543" s="57" t="n"/>
    </row>
    <row r="544">
      <c r="A544" s="57" t="n"/>
      <c r="B544" s="57" t="n"/>
    </row>
    <row r="545">
      <c r="A545" s="57" t="n"/>
      <c r="B545" s="57" t="n"/>
    </row>
    <row r="546">
      <c r="A546" s="57" t="n"/>
      <c r="B546" s="57" t="n"/>
    </row>
    <row r="547">
      <c r="A547" s="57" t="n"/>
      <c r="B547" s="57" t="n"/>
    </row>
    <row r="548">
      <c r="A548" s="57" t="n"/>
      <c r="B548" s="57" t="n"/>
    </row>
    <row r="549">
      <c r="A549" s="57" t="n"/>
      <c r="B549" s="57" t="n"/>
    </row>
    <row r="550">
      <c r="A550" s="57" t="n"/>
      <c r="B550" s="57" t="n"/>
    </row>
    <row r="551">
      <c r="A551" s="57" t="n"/>
      <c r="B551" s="57" t="n"/>
    </row>
    <row r="552">
      <c r="A552" s="57" t="n"/>
      <c r="B552" s="57" t="n"/>
    </row>
    <row r="553">
      <c r="A553" s="57" t="n"/>
      <c r="B553" s="57" t="n"/>
    </row>
    <row r="554">
      <c r="A554" s="57" t="n"/>
      <c r="B554" s="57" t="n"/>
    </row>
    <row r="555">
      <c r="A555" s="57" t="n"/>
      <c r="B555" s="57" t="n"/>
    </row>
    <row r="556">
      <c r="A556" s="57" t="n"/>
      <c r="B556" s="57" t="n"/>
    </row>
    <row r="557">
      <c r="A557" s="57" t="n"/>
      <c r="B557" s="57" t="n"/>
    </row>
    <row r="558">
      <c r="A558" s="57" t="n"/>
      <c r="B558" s="57" t="n"/>
    </row>
    <row r="559">
      <c r="A559" s="57" t="n"/>
      <c r="B559" s="57" t="n"/>
    </row>
    <row r="560">
      <c r="A560" s="57" t="n"/>
      <c r="B560" s="57" t="n"/>
    </row>
    <row r="561">
      <c r="A561" s="57" t="n"/>
      <c r="B561" s="57" t="n"/>
    </row>
    <row r="562">
      <c r="A562" s="57" t="n"/>
      <c r="B562" s="57" t="n"/>
    </row>
    <row r="563">
      <c r="A563" s="57" t="n"/>
      <c r="B563" s="57" t="n"/>
    </row>
    <row r="564">
      <c r="A564" s="57" t="n"/>
      <c r="B564" s="57" t="n"/>
    </row>
    <row r="565">
      <c r="A565" s="57" t="n"/>
      <c r="B565" s="57" t="n"/>
    </row>
    <row r="566">
      <c r="A566" s="57" t="n"/>
      <c r="B566" s="57" t="n"/>
    </row>
    <row r="567">
      <c r="A567" s="57" t="n"/>
      <c r="B567" s="57" t="n"/>
    </row>
    <row r="568">
      <c r="A568" s="57" t="n"/>
      <c r="B568" s="57" t="n"/>
    </row>
    <row r="569">
      <c r="A569" s="57" t="n"/>
      <c r="B569" s="57" t="n"/>
    </row>
    <row r="570">
      <c r="A570" s="57" t="n"/>
      <c r="B570" s="57" t="n"/>
    </row>
    <row r="571">
      <c r="A571" s="57" t="n"/>
      <c r="B571" s="57" t="n"/>
    </row>
    <row r="572">
      <c r="A572" s="57" t="n"/>
      <c r="B572" s="57" t="n"/>
    </row>
    <row r="573">
      <c r="A573" s="57" t="n"/>
      <c r="B573" s="57" t="n"/>
    </row>
    <row r="574">
      <c r="A574" s="57" t="n"/>
      <c r="B574" s="57" t="n"/>
    </row>
    <row r="575">
      <c r="A575" s="57" t="n"/>
      <c r="B575" s="57" t="n"/>
    </row>
    <row r="576">
      <c r="A576" s="57" t="n"/>
      <c r="B576" s="57" t="n"/>
    </row>
    <row r="577">
      <c r="A577" s="57" t="n"/>
      <c r="B577" s="57" t="n"/>
    </row>
    <row r="578">
      <c r="A578" s="57" t="n"/>
      <c r="B578" s="57" t="n"/>
    </row>
    <row r="579">
      <c r="A579" s="57" t="n"/>
      <c r="B579" s="57" t="n"/>
    </row>
    <row r="580">
      <c r="A580" s="57" t="n"/>
      <c r="B580" s="57" t="n"/>
    </row>
    <row r="581">
      <c r="A581" s="57" t="n"/>
      <c r="B581" s="57" t="n"/>
    </row>
    <row r="582">
      <c r="A582" s="57" t="n"/>
      <c r="B582" s="57" t="n"/>
    </row>
    <row r="583">
      <c r="A583" s="57" t="n"/>
      <c r="B583" s="57" t="n"/>
    </row>
    <row r="584">
      <c r="A584" s="57" t="n"/>
      <c r="B584" s="57" t="n"/>
    </row>
    <row r="585">
      <c r="A585" s="57" t="n"/>
      <c r="B585" s="57" t="n"/>
    </row>
    <row r="586">
      <c r="A586" s="57" t="n"/>
      <c r="B586" s="57" t="n"/>
    </row>
    <row r="587">
      <c r="A587" s="57" t="n"/>
      <c r="B587" s="57" t="n"/>
    </row>
    <row r="588">
      <c r="A588" s="57" t="n"/>
      <c r="B588" s="57" t="n"/>
    </row>
    <row r="589">
      <c r="A589" s="57" t="n"/>
      <c r="B589" s="57" t="n"/>
    </row>
    <row r="590">
      <c r="A590" s="57" t="n"/>
      <c r="B590" s="57" t="n"/>
    </row>
    <row r="591">
      <c r="A591" s="57" t="n"/>
      <c r="B591" s="57" t="n"/>
    </row>
    <row r="592">
      <c r="A592" s="57" t="n"/>
      <c r="B592" s="57" t="n"/>
    </row>
    <row r="593">
      <c r="A593" s="57" t="n"/>
      <c r="B593" s="57" t="n"/>
    </row>
    <row r="594">
      <c r="A594" s="57" t="n"/>
      <c r="B594" s="57" t="n"/>
    </row>
    <row r="595">
      <c r="A595" s="57" t="n"/>
      <c r="B595" s="57" t="n"/>
    </row>
    <row r="596">
      <c r="A596" s="57" t="n"/>
      <c r="B596" s="57" t="n"/>
    </row>
    <row r="597">
      <c r="A597" s="57" t="n"/>
      <c r="B597" s="57" t="n"/>
    </row>
    <row r="598">
      <c r="A598" s="57" t="n"/>
      <c r="B598" s="57" t="n"/>
    </row>
    <row r="599">
      <c r="A599" s="57" t="n"/>
      <c r="B599" s="57" t="n"/>
    </row>
    <row r="600">
      <c r="A600" s="57" t="n"/>
      <c r="B600" s="57" t="n"/>
    </row>
    <row r="601">
      <c r="A601" s="57" t="n"/>
      <c r="B601" s="57" t="n"/>
    </row>
    <row r="602">
      <c r="A602" s="57" t="n"/>
      <c r="B602" s="57" t="n"/>
    </row>
    <row r="603">
      <c r="A603" s="57" t="n"/>
      <c r="B603" s="57" t="n"/>
    </row>
    <row r="604">
      <c r="A604" s="57" t="n"/>
      <c r="B604" s="57" t="n"/>
    </row>
    <row r="605">
      <c r="A605" s="57" t="n"/>
      <c r="B605" s="57" t="n"/>
    </row>
    <row r="606">
      <c r="A606" s="57" t="n"/>
      <c r="B606" s="57" t="n"/>
    </row>
    <row r="607">
      <c r="A607" s="57" t="n"/>
      <c r="B607" s="57" t="n"/>
    </row>
    <row r="608">
      <c r="A608" s="57" t="n"/>
      <c r="B608" s="57" t="n"/>
    </row>
    <row r="609">
      <c r="A609" s="57" t="n"/>
      <c r="B609" s="57" t="n"/>
    </row>
    <row r="610">
      <c r="A610" s="57" t="n"/>
      <c r="B610" s="57" t="n"/>
    </row>
    <row r="611">
      <c r="A611" s="57" t="n"/>
      <c r="B611" s="57" t="n"/>
    </row>
    <row r="612">
      <c r="A612" s="57" t="n"/>
      <c r="B612" s="57" t="n"/>
    </row>
    <row r="613">
      <c r="A613" s="57" t="n"/>
      <c r="B613" s="57" t="n"/>
    </row>
    <row r="614">
      <c r="A614" s="57" t="n"/>
      <c r="B614" s="57" t="n"/>
    </row>
    <row r="615">
      <c r="A615" s="57" t="n"/>
      <c r="B615" s="57" t="n"/>
    </row>
    <row r="616">
      <c r="A616" s="57" t="n"/>
      <c r="B616" s="57" t="n"/>
    </row>
    <row r="617">
      <c r="A617" s="57" t="n"/>
      <c r="B617" s="57" t="n"/>
    </row>
    <row r="618">
      <c r="A618" s="57" t="n"/>
      <c r="B618" s="57" t="n"/>
    </row>
    <row r="619">
      <c r="A619" s="57" t="n"/>
      <c r="B619" s="57" t="n"/>
    </row>
    <row r="620">
      <c r="A620" s="57" t="n"/>
      <c r="B620" s="57" t="n"/>
    </row>
    <row r="621">
      <c r="A621" s="57" t="n"/>
      <c r="B621" s="57" t="n"/>
    </row>
    <row r="622">
      <c r="A622" s="57" t="n"/>
      <c r="B622" s="57" t="n"/>
    </row>
    <row r="623">
      <c r="A623" s="57" t="n"/>
      <c r="B623" s="57" t="n"/>
    </row>
    <row r="624">
      <c r="A624" s="57" t="n"/>
      <c r="B624" s="57" t="n"/>
    </row>
    <row r="625">
      <c r="A625" s="57" t="n"/>
      <c r="B625" s="57" t="n"/>
    </row>
    <row r="626">
      <c r="A626" s="57" t="n"/>
      <c r="B626" s="57" t="n"/>
    </row>
    <row r="627">
      <c r="A627" s="57" t="n"/>
      <c r="B627" s="57" t="n"/>
    </row>
    <row r="628">
      <c r="A628" s="57" t="n"/>
      <c r="B628" s="57" t="n"/>
    </row>
    <row r="629">
      <c r="A629" s="57" t="n"/>
      <c r="B629" s="57" t="n"/>
    </row>
    <row r="630">
      <c r="A630" s="57" t="n"/>
      <c r="B630" s="57" t="n"/>
    </row>
    <row r="631">
      <c r="A631" s="57" t="n"/>
      <c r="B631" s="57" t="n"/>
    </row>
    <row r="632">
      <c r="A632" s="57" t="n"/>
      <c r="B632" s="57" t="n"/>
    </row>
    <row r="633">
      <c r="A633" s="57" t="n"/>
      <c r="B633" s="57" t="n"/>
    </row>
    <row r="634">
      <c r="A634" s="57" t="n"/>
      <c r="B634" s="57" t="n"/>
    </row>
    <row r="635">
      <c r="A635" s="57" t="n"/>
      <c r="B635" s="57" t="n"/>
    </row>
    <row r="636">
      <c r="A636" s="57" t="n"/>
      <c r="B636" s="57" t="n"/>
    </row>
    <row r="637">
      <c r="A637" s="57" t="n"/>
      <c r="B637" s="57" t="n"/>
    </row>
    <row r="638">
      <c r="A638" s="57" t="n"/>
      <c r="B638" s="57" t="n"/>
    </row>
    <row r="639">
      <c r="A639" s="57" t="n"/>
      <c r="B639" s="57" t="n"/>
    </row>
    <row r="640">
      <c r="A640" s="57" t="n"/>
      <c r="B640" s="57" t="n"/>
    </row>
    <row r="641">
      <c r="A641" s="57" t="n"/>
      <c r="B641" s="57" t="n"/>
    </row>
    <row r="642">
      <c r="A642" s="57" t="n"/>
      <c r="B642" s="57" t="n"/>
    </row>
    <row r="643">
      <c r="A643" s="57" t="n"/>
      <c r="B643" s="57" t="n"/>
    </row>
    <row r="644">
      <c r="A644" s="57" t="n"/>
      <c r="B644" s="57" t="n"/>
    </row>
    <row r="645">
      <c r="A645" s="57" t="n"/>
      <c r="B645" s="57" t="n"/>
    </row>
    <row r="646">
      <c r="A646" s="57" t="n"/>
      <c r="B646" s="57" t="n"/>
    </row>
    <row r="647">
      <c r="A647" s="57" t="n"/>
      <c r="B647" s="57" t="n"/>
    </row>
    <row r="648">
      <c r="A648" s="57" t="n"/>
      <c r="B648" s="57" t="n"/>
    </row>
    <row r="649">
      <c r="A649" s="57" t="n"/>
      <c r="B649" s="57" t="n"/>
    </row>
    <row r="650">
      <c r="A650" s="57" t="n"/>
      <c r="B650" s="57" t="n"/>
    </row>
    <row r="651">
      <c r="A651" s="57" t="n"/>
      <c r="B651" s="57" t="n"/>
    </row>
    <row r="652">
      <c r="A652" s="57" t="n"/>
      <c r="B652" s="57" t="n"/>
    </row>
    <row r="653">
      <c r="A653" s="57" t="n"/>
      <c r="B653" s="57" t="n"/>
    </row>
    <row r="654">
      <c r="A654" s="57" t="n"/>
      <c r="B654" s="57" t="n"/>
    </row>
    <row r="655">
      <c r="A655" s="57" t="n"/>
      <c r="B655" s="57" t="n"/>
    </row>
    <row r="656">
      <c r="A656" s="57" t="n"/>
      <c r="B656" s="57" t="n"/>
    </row>
    <row r="657">
      <c r="A657" s="57" t="n"/>
      <c r="B657" s="57" t="n"/>
    </row>
    <row r="658">
      <c r="A658" s="57" t="n"/>
      <c r="B658" s="57" t="n"/>
    </row>
    <row r="659">
      <c r="A659" s="57" t="n"/>
      <c r="B659" s="57" t="n"/>
    </row>
    <row r="660">
      <c r="A660" s="57" t="n"/>
      <c r="B660" s="57" t="n"/>
    </row>
    <row r="661">
      <c r="A661" s="57" t="n"/>
      <c r="B661" s="57" t="n"/>
    </row>
    <row r="662">
      <c r="A662" s="57" t="n"/>
      <c r="B662" s="57" t="n"/>
    </row>
    <row r="663">
      <c r="A663" s="57" t="n"/>
      <c r="B663" s="57" t="n"/>
    </row>
    <row r="664">
      <c r="A664" s="57" t="n"/>
      <c r="B664" s="57" t="n"/>
    </row>
    <row r="665">
      <c r="A665" s="57" t="n"/>
      <c r="B665" s="57" t="n"/>
    </row>
    <row r="666">
      <c r="A666" s="57" t="n"/>
      <c r="B666" s="57" t="n"/>
    </row>
    <row r="667">
      <c r="A667" s="57" t="n"/>
      <c r="B667" s="57" t="n"/>
    </row>
    <row r="668">
      <c r="A668" s="57" t="n"/>
      <c r="B668" s="57" t="n"/>
    </row>
    <row r="669">
      <c r="A669" s="57" t="n"/>
      <c r="B669" s="57" t="n"/>
    </row>
    <row r="670">
      <c r="A670" s="57" t="n"/>
      <c r="B670" s="57" t="n"/>
    </row>
    <row r="671">
      <c r="A671" s="57" t="n"/>
      <c r="B671" s="57" t="n"/>
    </row>
    <row r="672">
      <c r="A672" s="57" t="n"/>
      <c r="B672" s="57" t="n"/>
    </row>
    <row r="673">
      <c r="A673" s="57" t="n"/>
      <c r="B673" s="57" t="n"/>
    </row>
    <row r="674">
      <c r="A674" s="57" t="n"/>
      <c r="B674" s="57" t="n"/>
    </row>
    <row r="675">
      <c r="A675" s="57" t="n"/>
      <c r="B675" s="57" t="n"/>
    </row>
    <row r="676">
      <c r="A676" s="57" t="n"/>
      <c r="B676" s="57" t="n"/>
    </row>
    <row r="677">
      <c r="A677" s="57" t="n"/>
      <c r="B677" s="57" t="n"/>
    </row>
    <row r="678">
      <c r="A678" s="57" t="n"/>
      <c r="B678" s="57" t="n"/>
    </row>
    <row r="679">
      <c r="A679" s="57" t="n"/>
      <c r="B679" s="57" t="n"/>
    </row>
    <row r="680">
      <c r="A680" s="57" t="n"/>
      <c r="B680" s="57" t="n"/>
    </row>
    <row r="681">
      <c r="A681" s="57" t="n"/>
      <c r="B681" s="57" t="n"/>
    </row>
    <row r="682">
      <c r="A682" s="57" t="n"/>
      <c r="B682" s="57" t="n"/>
    </row>
    <row r="683">
      <c r="A683" s="57" t="n"/>
      <c r="B683" s="57" t="n"/>
    </row>
    <row r="684">
      <c r="A684" s="57" t="n"/>
      <c r="B684" s="57" t="n"/>
    </row>
    <row r="685">
      <c r="A685" s="57" t="n"/>
      <c r="B685" s="57" t="n"/>
    </row>
    <row r="686">
      <c r="A686" s="57" t="n"/>
      <c r="B686" s="57" t="n"/>
    </row>
    <row r="687">
      <c r="A687" s="57" t="n"/>
      <c r="B687" s="57" t="n"/>
    </row>
    <row r="688">
      <c r="A688" s="57" t="n"/>
      <c r="B688" s="57" t="n"/>
    </row>
    <row r="689">
      <c r="A689" s="57" t="n"/>
      <c r="B689" s="57" t="n"/>
    </row>
    <row r="690">
      <c r="A690" s="57" t="n"/>
      <c r="B690" s="57" t="n"/>
    </row>
    <row r="691">
      <c r="A691" s="57" t="n"/>
      <c r="B691" s="57" t="n"/>
    </row>
    <row r="692">
      <c r="A692" s="57" t="n"/>
      <c r="B692" s="57" t="n"/>
    </row>
    <row r="693">
      <c r="A693" s="57" t="n"/>
      <c r="B693" s="57" t="n"/>
    </row>
    <row r="694">
      <c r="A694" s="57" t="n"/>
      <c r="B694" s="57" t="n"/>
    </row>
    <row r="695">
      <c r="A695" s="57" t="n"/>
      <c r="B695" s="57" t="n"/>
    </row>
    <row r="696">
      <c r="A696" s="57" t="n"/>
      <c r="B696" s="57" t="n"/>
    </row>
    <row r="697">
      <c r="A697" s="57" t="n"/>
      <c r="B697" s="57" t="n"/>
    </row>
    <row r="698">
      <c r="A698" s="57" t="n"/>
      <c r="B698" s="57" t="n"/>
    </row>
    <row r="699">
      <c r="A699" s="57" t="n"/>
      <c r="B699" s="57" t="n"/>
    </row>
    <row r="700">
      <c r="A700" s="57" t="n"/>
      <c r="B700" s="57" t="n"/>
    </row>
    <row r="701">
      <c r="A701" s="57" t="n"/>
      <c r="B701" s="57" t="n"/>
    </row>
    <row r="702">
      <c r="A702" s="57" t="n"/>
      <c r="B702" s="57" t="n"/>
    </row>
    <row r="703">
      <c r="A703" s="57" t="n"/>
      <c r="B703" s="57" t="n"/>
    </row>
    <row r="704">
      <c r="A704" s="57" t="n"/>
      <c r="B704" s="57" t="n"/>
    </row>
    <row r="705">
      <c r="A705" s="57" t="n"/>
      <c r="B705" s="57" t="n"/>
    </row>
    <row r="706">
      <c r="A706" s="57" t="n"/>
      <c r="B706" s="57" t="n"/>
    </row>
    <row r="707">
      <c r="A707" s="57" t="n"/>
      <c r="B707" s="57" t="n"/>
    </row>
    <row r="708">
      <c r="A708" s="57" t="n"/>
      <c r="B708" s="57" t="n"/>
    </row>
    <row r="709">
      <c r="A709" s="57" t="n"/>
      <c r="B709" s="57" t="n"/>
    </row>
    <row r="710">
      <c r="A710" s="57" t="n"/>
      <c r="B710" s="57" t="n"/>
    </row>
    <row r="711">
      <c r="A711" s="57" t="n"/>
      <c r="B711" s="57" t="n"/>
    </row>
    <row r="712">
      <c r="A712" s="57" t="n"/>
      <c r="B712" s="57" t="n"/>
    </row>
    <row r="713">
      <c r="A713" s="57" t="n"/>
      <c r="B713" s="57" t="n"/>
    </row>
    <row r="714">
      <c r="A714" s="57" t="n"/>
      <c r="B714" s="57" t="n"/>
    </row>
    <row r="715">
      <c r="A715" s="57" t="n"/>
      <c r="B715" s="57" t="n"/>
    </row>
    <row r="716">
      <c r="A716" s="57" t="n"/>
      <c r="B716" s="57" t="n"/>
    </row>
    <row r="717">
      <c r="A717" s="57" t="n"/>
      <c r="B717" s="57" t="n"/>
    </row>
    <row r="718">
      <c r="A718" s="57" t="n"/>
      <c r="B718" s="57" t="n"/>
    </row>
    <row r="719">
      <c r="A719" s="57" t="n"/>
      <c r="B719" s="57" t="n"/>
    </row>
    <row r="720">
      <c r="A720" s="57" t="n"/>
      <c r="B720" s="57" t="n"/>
    </row>
    <row r="721">
      <c r="A721" s="57" t="n"/>
      <c r="B721" s="57" t="n"/>
    </row>
    <row r="722">
      <c r="A722" s="57" t="n"/>
      <c r="B722" s="57" t="n"/>
    </row>
    <row r="723">
      <c r="A723" s="57" t="n"/>
      <c r="B723" s="57" t="n"/>
    </row>
    <row r="724">
      <c r="A724" s="57" t="n"/>
      <c r="B724" s="57" t="n"/>
    </row>
    <row r="725">
      <c r="A725" s="57" t="n"/>
      <c r="B725" s="57" t="n"/>
    </row>
    <row r="726">
      <c r="A726" s="57" t="n"/>
      <c r="B726" s="57" t="n"/>
    </row>
    <row r="727">
      <c r="A727" s="57" t="n"/>
      <c r="B727" s="57" t="n"/>
    </row>
    <row r="728">
      <c r="A728" s="57" t="n"/>
      <c r="B728" s="57" t="n"/>
    </row>
    <row r="729">
      <c r="A729" s="57" t="n"/>
      <c r="B729" s="57" t="n"/>
    </row>
    <row r="730">
      <c r="A730" s="57" t="n"/>
      <c r="B730" s="57" t="n"/>
    </row>
    <row r="731">
      <c r="A731" s="57" t="n"/>
      <c r="B731" s="57" t="n"/>
    </row>
    <row r="732">
      <c r="A732" s="57" t="n"/>
      <c r="B732" s="57" t="n"/>
    </row>
    <row r="733">
      <c r="A733" s="57" t="n"/>
      <c r="B733" s="57" t="n"/>
    </row>
    <row r="734">
      <c r="A734" s="57" t="n"/>
      <c r="B734" s="57" t="n"/>
    </row>
    <row r="735">
      <c r="A735" s="57" t="n"/>
      <c r="B735" s="57" t="n"/>
    </row>
    <row r="736">
      <c r="A736" s="57" t="n"/>
      <c r="B736" s="57" t="n"/>
    </row>
    <row r="737">
      <c r="A737" s="57" t="n"/>
      <c r="B737" s="57" t="n"/>
    </row>
    <row r="738">
      <c r="A738" s="57" t="n"/>
      <c r="B738" s="57" t="n"/>
    </row>
    <row r="739">
      <c r="A739" s="57" t="n"/>
      <c r="B739" s="57" t="n"/>
    </row>
    <row r="740">
      <c r="A740" s="57" t="n"/>
      <c r="B740" s="57" t="n"/>
    </row>
    <row r="741">
      <c r="A741" s="57" t="n"/>
      <c r="B741" s="57" t="n"/>
    </row>
    <row r="742">
      <c r="A742" s="57" t="n"/>
      <c r="B742" s="57" t="n"/>
    </row>
    <row r="743">
      <c r="A743" s="57" t="n"/>
      <c r="B743" s="57" t="n"/>
    </row>
    <row r="744">
      <c r="A744" s="57" t="n"/>
      <c r="B744" s="57" t="n"/>
    </row>
    <row r="745">
      <c r="A745" s="57" t="n"/>
      <c r="B745" s="57" t="n"/>
    </row>
    <row r="746">
      <c r="A746" s="57" t="n"/>
      <c r="B746" s="57" t="n"/>
    </row>
    <row r="747">
      <c r="A747" s="57" t="n"/>
      <c r="B747" s="57" t="n"/>
    </row>
    <row r="748">
      <c r="A748" s="57" t="n"/>
      <c r="B748" s="57" t="n"/>
    </row>
    <row r="749">
      <c r="A749" s="57" t="n"/>
      <c r="B749" s="57" t="n"/>
    </row>
    <row r="750">
      <c r="A750" s="57" t="n"/>
      <c r="B750" s="57" t="n"/>
    </row>
    <row r="751">
      <c r="A751" s="57" t="n"/>
      <c r="B751" s="57" t="n"/>
    </row>
    <row r="752">
      <c r="A752" s="57" t="n"/>
      <c r="B752" s="57" t="n"/>
    </row>
    <row r="753">
      <c r="A753" s="57" t="n"/>
      <c r="B753" s="57" t="n"/>
    </row>
    <row r="754">
      <c r="A754" s="57" t="n"/>
      <c r="B754" s="57" t="n"/>
    </row>
    <row r="755">
      <c r="A755" s="57" t="n"/>
      <c r="B755" s="57" t="n"/>
    </row>
    <row r="756">
      <c r="A756" s="57" t="n"/>
      <c r="B756" s="57" t="n"/>
    </row>
    <row r="757">
      <c r="A757" s="57" t="n"/>
      <c r="B757" s="57" t="n"/>
    </row>
    <row r="758">
      <c r="A758" s="57" t="n"/>
      <c r="B758" s="57" t="n"/>
    </row>
    <row r="759">
      <c r="A759" s="57" t="n"/>
      <c r="B759" s="57" t="n"/>
    </row>
    <row r="760">
      <c r="A760" s="57" t="n"/>
      <c r="B760" s="57" t="n"/>
    </row>
    <row r="761">
      <c r="A761" s="57" t="n"/>
      <c r="B761" s="57" t="n"/>
    </row>
    <row r="762">
      <c r="A762" s="57" t="n"/>
      <c r="B762" s="57" t="n"/>
    </row>
    <row r="763">
      <c r="A763" s="57" t="n"/>
      <c r="B763" s="57" t="n"/>
    </row>
    <row r="764">
      <c r="A764" s="57" t="n"/>
      <c r="B764" s="57" t="n"/>
    </row>
    <row r="765">
      <c r="A765" s="57" t="n"/>
      <c r="B765" s="57" t="n"/>
    </row>
    <row r="766">
      <c r="A766" s="57" t="n"/>
      <c r="B766" s="57" t="n"/>
    </row>
    <row r="767">
      <c r="A767" s="57" t="n"/>
      <c r="B767" s="57" t="n"/>
    </row>
    <row r="768">
      <c r="A768" s="57" t="n"/>
      <c r="B768" s="57" t="n"/>
    </row>
    <row r="769">
      <c r="A769" s="57" t="n"/>
      <c r="B769" s="57" t="n"/>
    </row>
    <row r="770">
      <c r="A770" s="57" t="n"/>
      <c r="B770" s="57" t="n"/>
    </row>
    <row r="771">
      <c r="A771" s="57" t="n"/>
      <c r="B771" s="57" t="n"/>
    </row>
    <row r="772">
      <c r="A772" s="57" t="n"/>
      <c r="B772" s="57" t="n"/>
    </row>
    <row r="773">
      <c r="A773" s="57" t="n"/>
      <c r="B773" s="57" t="n"/>
    </row>
    <row r="774">
      <c r="A774" s="57" t="n"/>
      <c r="B774" s="57" t="n"/>
    </row>
    <row r="775">
      <c r="A775" s="57" t="n"/>
      <c r="B775" s="57" t="n"/>
    </row>
    <row r="776">
      <c r="A776" s="57" t="n"/>
      <c r="B776" s="57" t="n"/>
    </row>
    <row r="777">
      <c r="A777" s="57" t="n"/>
      <c r="B777" s="57" t="n"/>
    </row>
    <row r="778">
      <c r="A778" s="57" t="n"/>
      <c r="B778" s="57" t="n"/>
    </row>
    <row r="779">
      <c r="A779" s="57" t="n"/>
      <c r="B779" s="57" t="n"/>
    </row>
    <row r="780">
      <c r="A780" s="57" t="n"/>
      <c r="B780" s="57" t="n"/>
    </row>
    <row r="781">
      <c r="A781" s="57" t="n"/>
      <c r="B781" s="57" t="n"/>
    </row>
    <row r="782">
      <c r="A782" s="57" t="n"/>
      <c r="B782" s="57" t="n"/>
    </row>
    <row r="783">
      <c r="A783" s="57" t="n"/>
      <c r="B783" s="57" t="n"/>
    </row>
    <row r="784">
      <c r="A784" s="57" t="n"/>
      <c r="B784" s="57" t="n"/>
    </row>
    <row r="785">
      <c r="A785" s="57" t="n"/>
      <c r="B785" s="57" t="n"/>
    </row>
    <row r="786">
      <c r="A786" s="57" t="n"/>
      <c r="B786" s="57" t="n"/>
    </row>
    <row r="787">
      <c r="A787" s="57" t="n"/>
      <c r="B787" s="57" t="n"/>
    </row>
    <row r="788">
      <c r="A788" s="57" t="n"/>
      <c r="B788" s="57" t="n"/>
    </row>
    <row r="789">
      <c r="A789" s="57" t="n"/>
      <c r="B789" s="57" t="n"/>
    </row>
    <row r="790">
      <c r="A790" s="57" t="n"/>
      <c r="B790" s="57" t="n"/>
    </row>
    <row r="791">
      <c r="A791" s="57" t="n"/>
      <c r="B791" s="57" t="n"/>
    </row>
    <row r="792">
      <c r="A792" s="57" t="n"/>
      <c r="B792" s="57" t="n"/>
    </row>
    <row r="793">
      <c r="A793" s="57" t="n"/>
      <c r="B793" s="57" t="n"/>
    </row>
    <row r="794">
      <c r="A794" s="57" t="n"/>
      <c r="B794" s="57" t="n"/>
    </row>
    <row r="795">
      <c r="A795" s="57" t="n"/>
      <c r="B795" s="57" t="n"/>
    </row>
    <row r="796">
      <c r="A796" s="57" t="n"/>
      <c r="B796" s="57" t="n"/>
    </row>
    <row r="797">
      <c r="A797" s="57" t="n"/>
      <c r="B797" s="57" t="n"/>
    </row>
    <row r="798">
      <c r="A798" s="57" t="n"/>
      <c r="B798" s="57" t="n"/>
    </row>
    <row r="799">
      <c r="A799" s="57" t="n"/>
      <c r="B799" s="57" t="n"/>
    </row>
    <row r="800">
      <c r="A800" s="57" t="n"/>
      <c r="B800" s="57" t="n"/>
    </row>
    <row r="801">
      <c r="A801" s="57" t="n"/>
      <c r="B801" s="57" t="n"/>
    </row>
    <row r="802">
      <c r="A802" s="57" t="n"/>
      <c r="B802" s="57" t="n"/>
    </row>
    <row r="803">
      <c r="A803" s="57" t="n"/>
      <c r="B803" s="57" t="n"/>
    </row>
    <row r="804">
      <c r="A804" s="57" t="n"/>
      <c r="B804" s="57" t="n"/>
    </row>
    <row r="805">
      <c r="A805" s="57" t="n"/>
      <c r="B805" s="57" t="n"/>
    </row>
    <row r="806">
      <c r="A806" s="57" t="n"/>
      <c r="B806" s="57" t="n"/>
    </row>
    <row r="807">
      <c r="A807" s="57" t="n"/>
      <c r="B807" s="57" t="n"/>
    </row>
    <row r="808">
      <c r="A808" s="57" t="n"/>
      <c r="B808" s="57" t="n"/>
    </row>
    <row r="809">
      <c r="A809" s="57" t="n"/>
      <c r="B809" s="57" t="n"/>
    </row>
    <row r="810">
      <c r="A810" s="57" t="n"/>
      <c r="B810" s="57" t="n"/>
    </row>
    <row r="811">
      <c r="A811" s="57" t="n"/>
      <c r="B811" s="57" t="n"/>
    </row>
    <row r="812">
      <c r="A812" s="57" t="n"/>
      <c r="B812" s="57" t="n"/>
    </row>
    <row r="813">
      <c r="A813" s="57" t="n"/>
      <c r="B813" s="57" t="n"/>
    </row>
    <row r="814">
      <c r="A814" s="57" t="n"/>
      <c r="B814" s="57" t="n"/>
    </row>
    <row r="815">
      <c r="A815" s="57" t="n"/>
      <c r="B815" s="57" t="n"/>
    </row>
    <row r="816">
      <c r="A816" s="57" t="n"/>
      <c r="B816" s="57" t="n"/>
    </row>
    <row r="817">
      <c r="A817" s="57" t="n"/>
      <c r="B817" s="57" t="n"/>
    </row>
    <row r="818">
      <c r="A818" s="57" t="n"/>
      <c r="B818" s="57" t="n"/>
    </row>
    <row r="819">
      <c r="A819" s="57" t="n"/>
      <c r="B819" s="57" t="n"/>
    </row>
    <row r="820">
      <c r="A820" s="57" t="n"/>
      <c r="B820" s="57" t="n"/>
    </row>
    <row r="821">
      <c r="A821" s="57" t="n"/>
      <c r="B821" s="57" t="n"/>
    </row>
    <row r="822">
      <c r="A822" s="57" t="n"/>
      <c r="B822" s="57" t="n"/>
    </row>
    <row r="823">
      <c r="A823" s="57" t="n"/>
      <c r="B823" s="57" t="n"/>
    </row>
    <row r="824">
      <c r="A824" s="57" t="n"/>
      <c r="B824" s="57" t="n"/>
    </row>
    <row r="825">
      <c r="A825" s="57" t="n"/>
      <c r="B825" s="57" t="n"/>
    </row>
    <row r="826">
      <c r="A826" s="57" t="n"/>
      <c r="B826" s="57" t="n"/>
    </row>
    <row r="827">
      <c r="A827" s="57" t="n"/>
      <c r="B827" s="57" t="n"/>
    </row>
    <row r="828">
      <c r="A828" s="57" t="n"/>
      <c r="B828" s="57" t="n"/>
    </row>
    <row r="829">
      <c r="A829" s="57" t="n"/>
      <c r="B829" s="57" t="n"/>
    </row>
    <row r="830">
      <c r="A830" s="57" t="n"/>
      <c r="B830" s="57" t="n"/>
    </row>
    <row r="831">
      <c r="A831" s="57" t="n"/>
      <c r="B831" s="57" t="n"/>
    </row>
    <row r="832">
      <c r="A832" s="57" t="n"/>
      <c r="B832" s="57" t="n"/>
    </row>
    <row r="833">
      <c r="A833" s="57" t="n"/>
      <c r="B833" s="57" t="n"/>
    </row>
    <row r="834">
      <c r="A834" s="57" t="n"/>
      <c r="B834" s="57" t="n"/>
    </row>
    <row r="835">
      <c r="A835" s="57" t="n"/>
      <c r="B835" s="57" t="n"/>
    </row>
    <row r="836">
      <c r="A836" s="57" t="n"/>
      <c r="B836" s="57" t="n"/>
    </row>
    <row r="837">
      <c r="A837" s="57" t="n"/>
      <c r="B837" s="57" t="n"/>
    </row>
    <row r="838">
      <c r="A838" s="57" t="n"/>
      <c r="B838" s="57" t="n"/>
    </row>
    <row r="839">
      <c r="A839" s="57" t="n"/>
      <c r="B839" s="57" t="n"/>
    </row>
    <row r="840">
      <c r="A840" s="57" t="n"/>
      <c r="B840" s="57" t="n"/>
    </row>
    <row r="841">
      <c r="A841" s="57" t="n"/>
      <c r="B841" s="57" t="n"/>
    </row>
    <row r="842">
      <c r="A842" s="57" t="n"/>
      <c r="B842" s="57" t="n"/>
    </row>
    <row r="843">
      <c r="A843" s="57" t="n"/>
      <c r="B843" s="57" t="n"/>
    </row>
    <row r="844">
      <c r="A844" s="57" t="n"/>
      <c r="B844" s="57" t="n"/>
    </row>
    <row r="845">
      <c r="A845" s="57" t="n"/>
      <c r="B845" s="57" t="n"/>
    </row>
    <row r="846">
      <c r="A846" s="57" t="n"/>
      <c r="B846" s="57" t="n"/>
    </row>
    <row r="847">
      <c r="A847" s="57" t="n"/>
      <c r="B847" s="57" t="n"/>
    </row>
    <row r="848">
      <c r="A848" s="57" t="n"/>
      <c r="B848" s="57" t="n"/>
    </row>
    <row r="849">
      <c r="A849" s="57" t="n"/>
      <c r="B849" s="57" t="n"/>
    </row>
    <row r="850">
      <c r="A850" s="57" t="n"/>
      <c r="B850" s="57" t="n"/>
    </row>
    <row r="851">
      <c r="A851" s="57" t="n"/>
      <c r="B851" s="57" t="n"/>
    </row>
    <row r="852">
      <c r="A852" s="57" t="n"/>
      <c r="B852" s="57" t="n"/>
    </row>
    <row r="853">
      <c r="A853" s="57" t="n"/>
      <c r="B853" s="57" t="n"/>
    </row>
    <row r="854">
      <c r="A854" s="57" t="n"/>
      <c r="B854" s="57" t="n"/>
    </row>
    <row r="855">
      <c r="A855" s="57" t="n"/>
      <c r="B855" s="57" t="n"/>
    </row>
    <row r="856">
      <c r="A856" s="57" t="n"/>
      <c r="B856" s="57" t="n"/>
    </row>
    <row r="857">
      <c r="A857" s="57" t="n"/>
      <c r="B857" s="57" t="n"/>
    </row>
    <row r="858">
      <c r="A858" s="57" t="n"/>
      <c r="B858" s="57" t="n"/>
    </row>
    <row r="859">
      <c r="A859" s="57" t="n"/>
      <c r="B859" s="57" t="n"/>
    </row>
    <row r="860">
      <c r="A860" s="57" t="n"/>
      <c r="B860" s="57" t="n"/>
    </row>
    <row r="861">
      <c r="A861" s="57" t="n"/>
      <c r="B861" s="57" t="n"/>
    </row>
    <row r="862">
      <c r="A862" s="57" t="n"/>
      <c r="B862" s="57" t="n"/>
    </row>
    <row r="863">
      <c r="A863" s="57" t="n"/>
      <c r="B863" s="57" t="n"/>
    </row>
    <row r="864">
      <c r="A864" s="57" t="n"/>
      <c r="B864" s="57" t="n"/>
    </row>
    <row r="865">
      <c r="A865" s="57" t="n"/>
      <c r="B865" s="57" t="n"/>
    </row>
    <row r="866">
      <c r="A866" s="57" t="n"/>
      <c r="B866" s="57" t="n"/>
    </row>
    <row r="867">
      <c r="A867" s="57" t="n"/>
      <c r="B867" s="57" t="n"/>
    </row>
    <row r="868">
      <c r="A868" s="57" t="n"/>
      <c r="B868" s="57" t="n"/>
    </row>
    <row r="869">
      <c r="A869" s="57" t="n"/>
      <c r="B869" s="57" t="n"/>
    </row>
    <row r="870">
      <c r="A870" s="57" t="n"/>
      <c r="B870" s="57" t="n"/>
    </row>
    <row r="871">
      <c r="A871" s="57" t="n"/>
      <c r="B871" s="57" t="n"/>
    </row>
    <row r="872">
      <c r="A872" s="57" t="n"/>
      <c r="B872" s="57" t="n"/>
    </row>
    <row r="873">
      <c r="A873" s="57" t="n"/>
      <c r="B873" s="57" t="n"/>
    </row>
    <row r="874">
      <c r="A874" s="57" t="n"/>
      <c r="B874" s="57" t="n"/>
    </row>
    <row r="875">
      <c r="A875" s="57" t="n"/>
      <c r="B875" s="57" t="n"/>
    </row>
    <row r="876">
      <c r="A876" s="57" t="n"/>
      <c r="B876" s="57" t="n"/>
    </row>
    <row r="877">
      <c r="A877" s="57" t="n"/>
      <c r="B877" s="57" t="n"/>
    </row>
    <row r="878">
      <c r="A878" s="57" t="n"/>
      <c r="B878" s="57" t="n"/>
    </row>
    <row r="879">
      <c r="A879" s="57" t="n"/>
      <c r="B879" s="57" t="n"/>
    </row>
    <row r="880">
      <c r="A880" s="57" t="n"/>
      <c r="B880" s="57" t="n"/>
    </row>
    <row r="881">
      <c r="A881" s="57" t="n"/>
      <c r="B881" s="57" t="n"/>
    </row>
    <row r="882">
      <c r="A882" s="57" t="n"/>
      <c r="B882" s="57" t="n"/>
    </row>
    <row r="883">
      <c r="A883" s="57" t="n"/>
      <c r="B883" s="57" t="n"/>
    </row>
    <row r="884">
      <c r="A884" s="57" t="n"/>
      <c r="B884" s="57" t="n"/>
    </row>
    <row r="885">
      <c r="A885" s="57" t="n"/>
      <c r="B885" s="57" t="n"/>
    </row>
    <row r="886">
      <c r="A886" s="57" t="n"/>
      <c r="B886" s="57" t="n"/>
    </row>
    <row r="887">
      <c r="A887" s="57" t="n"/>
      <c r="B887" s="57" t="n"/>
    </row>
    <row r="888">
      <c r="A888" s="57" t="n"/>
      <c r="B888" s="57" t="n"/>
    </row>
    <row r="889">
      <c r="A889" s="57" t="n"/>
      <c r="B889" s="57" t="n"/>
    </row>
    <row r="890">
      <c r="A890" s="57" t="n"/>
      <c r="B890" s="57" t="n"/>
    </row>
    <row r="891">
      <c r="A891" s="57" t="n"/>
      <c r="B891" s="57" t="n"/>
    </row>
    <row r="892">
      <c r="A892" s="57" t="n"/>
      <c r="B892" s="57" t="n"/>
    </row>
    <row r="893">
      <c r="A893" s="57" t="n"/>
      <c r="B893" s="57" t="n"/>
    </row>
    <row r="894">
      <c r="A894" s="57" t="n"/>
      <c r="B894" s="57" t="n"/>
    </row>
    <row r="895">
      <c r="A895" s="57" t="n"/>
      <c r="B895" s="57" t="n"/>
    </row>
    <row r="896">
      <c r="A896" s="57" t="n"/>
      <c r="B896" s="57" t="n"/>
    </row>
    <row r="897">
      <c r="A897" s="57" t="n"/>
      <c r="B897" s="57" t="n"/>
    </row>
    <row r="898">
      <c r="A898" s="57" t="n"/>
      <c r="B898" s="57" t="n"/>
    </row>
    <row r="899">
      <c r="A899" s="57" t="n"/>
      <c r="B899" s="57" t="n"/>
    </row>
    <row r="900">
      <c r="A900" s="57" t="n"/>
      <c r="B900" s="57" t="n"/>
    </row>
    <row r="901">
      <c r="A901" s="57" t="n"/>
      <c r="B901" s="57" t="n"/>
    </row>
    <row r="902">
      <c r="A902" s="57" t="n"/>
      <c r="B902" s="57" t="n"/>
    </row>
    <row r="903">
      <c r="A903" s="57" t="n"/>
      <c r="B903" s="57" t="n"/>
    </row>
    <row r="904">
      <c r="A904" s="57" t="n"/>
      <c r="B904" s="57" t="n"/>
    </row>
    <row r="905">
      <c r="A905" s="57" t="n"/>
      <c r="B905" s="57" t="n"/>
    </row>
    <row r="906">
      <c r="A906" s="57" t="n"/>
      <c r="B906" s="57" t="n"/>
    </row>
    <row r="907">
      <c r="A907" s="57" t="n"/>
      <c r="B907" s="57" t="n"/>
    </row>
    <row r="908">
      <c r="A908" s="57" t="n"/>
      <c r="B908" s="57" t="n"/>
    </row>
    <row r="909">
      <c r="A909" s="57" t="n"/>
      <c r="B909" s="57" t="n"/>
    </row>
    <row r="910">
      <c r="A910" s="57" t="n"/>
      <c r="B910" s="57" t="n"/>
    </row>
    <row r="911">
      <c r="A911" s="57" t="n"/>
      <c r="B911" s="57" t="n"/>
    </row>
    <row r="912">
      <c r="A912" s="57" t="n"/>
      <c r="B912" s="57" t="n"/>
    </row>
    <row r="913">
      <c r="A913" s="57" t="n"/>
      <c r="B913" s="57" t="n"/>
    </row>
    <row r="914">
      <c r="A914" s="57" t="n"/>
      <c r="B914" s="57" t="n"/>
    </row>
    <row r="915">
      <c r="A915" s="57" t="n"/>
      <c r="B915" s="57" t="n"/>
    </row>
    <row r="916">
      <c r="A916" s="57" t="n"/>
      <c r="B916" s="57" t="n"/>
    </row>
    <row r="917">
      <c r="A917" s="57" t="n"/>
      <c r="B917" s="57" t="n"/>
    </row>
    <row r="918">
      <c r="A918" s="57" t="n"/>
      <c r="B918" s="57" t="n"/>
    </row>
    <row r="919">
      <c r="A919" s="57" t="n"/>
      <c r="B919" s="57" t="n"/>
    </row>
    <row r="920">
      <c r="A920" s="57" t="n"/>
      <c r="B920" s="57" t="n"/>
    </row>
    <row r="921">
      <c r="A921" s="57" t="n"/>
      <c r="B921" s="57" t="n"/>
    </row>
    <row r="922">
      <c r="A922" s="57" t="n"/>
      <c r="B922" s="57" t="n"/>
    </row>
    <row r="923">
      <c r="A923" s="57" t="n"/>
      <c r="B923" s="57" t="n"/>
    </row>
    <row r="924">
      <c r="A924" s="57" t="n"/>
      <c r="B924" s="57" t="n"/>
    </row>
    <row r="925">
      <c r="A925" s="57" t="n"/>
      <c r="B925" s="57" t="n"/>
    </row>
    <row r="926">
      <c r="A926" s="57" t="n"/>
      <c r="B926" s="57" t="n"/>
    </row>
    <row r="927">
      <c r="A927" s="57" t="n"/>
      <c r="B927" s="57" t="n"/>
    </row>
    <row r="928">
      <c r="A928" s="57" t="n"/>
      <c r="B928" s="57" t="n"/>
    </row>
    <row r="929">
      <c r="A929" s="57" t="n"/>
      <c r="B929" s="57" t="n"/>
    </row>
    <row r="930">
      <c r="A930" s="57" t="n"/>
      <c r="B930" s="57" t="n"/>
    </row>
    <row r="931">
      <c r="A931" s="57" t="n"/>
      <c r="B931" s="57" t="n"/>
    </row>
    <row r="932">
      <c r="A932" s="57" t="n"/>
      <c r="B932" s="57" t="n"/>
    </row>
    <row r="933">
      <c r="A933" s="57" t="n"/>
      <c r="B933" s="57" t="n"/>
    </row>
    <row r="934">
      <c r="A934" s="57" t="n"/>
      <c r="B934" s="57" t="n"/>
    </row>
    <row r="935">
      <c r="A935" s="57" t="n"/>
      <c r="B935" s="57" t="n"/>
    </row>
    <row r="936">
      <c r="A936" s="57" t="n"/>
      <c r="B936" s="57" t="n"/>
    </row>
    <row r="937">
      <c r="A937" s="57" t="n"/>
      <c r="B937" s="57" t="n"/>
    </row>
    <row r="938">
      <c r="A938" s="57" t="n"/>
      <c r="B938" s="57" t="n"/>
    </row>
    <row r="939">
      <c r="A939" s="57" t="n"/>
      <c r="B939" s="57" t="n"/>
    </row>
    <row r="940">
      <c r="A940" s="57" t="n"/>
      <c r="B940" s="57" t="n"/>
    </row>
    <row r="941">
      <c r="A941" s="57" t="n"/>
      <c r="B941" s="57" t="n"/>
    </row>
    <row r="942">
      <c r="A942" s="57" t="n"/>
      <c r="B942" s="57" t="n"/>
    </row>
    <row r="943">
      <c r="A943" s="57" t="n"/>
      <c r="B943" s="57" t="n"/>
    </row>
    <row r="944">
      <c r="A944" s="57" t="n"/>
      <c r="B944" s="57" t="n"/>
    </row>
    <row r="945">
      <c r="A945" s="57" t="n"/>
      <c r="B945" s="57" t="n"/>
    </row>
    <row r="946">
      <c r="A946" s="57" t="n"/>
      <c r="B946" s="57" t="n"/>
    </row>
    <row r="947">
      <c r="A947" s="57" t="n"/>
      <c r="B947" s="57" t="n"/>
    </row>
    <row r="948">
      <c r="A948" s="57" t="n"/>
      <c r="B948" s="57" t="n"/>
    </row>
    <row r="949">
      <c r="A949" s="57" t="n"/>
      <c r="B949" s="57" t="n"/>
    </row>
    <row r="950">
      <c r="A950" s="57" t="n"/>
      <c r="B950" s="57" t="n"/>
    </row>
    <row r="951">
      <c r="A951" s="57" t="n"/>
      <c r="B951" s="57" t="n"/>
    </row>
    <row r="952">
      <c r="A952" s="57" t="n"/>
      <c r="B952" s="57" t="n"/>
    </row>
    <row r="953">
      <c r="A953" s="57" t="n"/>
      <c r="B953" s="57" t="n"/>
    </row>
    <row r="954">
      <c r="A954" s="57" t="n"/>
      <c r="B954" s="57" t="n"/>
    </row>
    <row r="955">
      <c r="A955" s="57" t="n"/>
      <c r="B955" s="57" t="n"/>
    </row>
    <row r="956">
      <c r="A956" s="57" t="n"/>
      <c r="B956" s="57" t="n"/>
    </row>
    <row r="957">
      <c r="A957" s="57" t="n"/>
      <c r="B957" s="57" t="n"/>
    </row>
    <row r="958">
      <c r="A958" s="57" t="n"/>
      <c r="B958" s="57" t="n"/>
    </row>
    <row r="959">
      <c r="A959" s="57" t="n"/>
      <c r="B959" s="57" t="n"/>
    </row>
    <row r="960">
      <c r="A960" s="57" t="n"/>
      <c r="B960" s="57" t="n"/>
    </row>
    <row r="961">
      <c r="A961" s="57" t="n"/>
      <c r="B961" s="57" t="n"/>
    </row>
    <row r="962">
      <c r="A962" s="57" t="n"/>
      <c r="B962" s="57" t="n"/>
    </row>
    <row r="963">
      <c r="A963" s="57" t="n"/>
      <c r="B963" s="57" t="n"/>
    </row>
    <row r="964">
      <c r="A964" s="57" t="n"/>
      <c r="B964" s="57" t="n"/>
    </row>
    <row r="965">
      <c r="A965" s="57" t="n"/>
      <c r="B965" s="57" t="n"/>
    </row>
    <row r="966">
      <c r="A966" s="57" t="n"/>
      <c r="B966" s="57" t="n"/>
    </row>
    <row r="967">
      <c r="A967" s="57" t="n"/>
      <c r="B967" s="57" t="n"/>
    </row>
    <row r="968">
      <c r="A968" s="57" t="n"/>
      <c r="B968" s="57" t="n"/>
    </row>
    <row r="969">
      <c r="A969" s="57" t="n"/>
      <c r="B969" s="57" t="n"/>
    </row>
    <row r="970">
      <c r="A970" s="57" t="n"/>
      <c r="B970" s="57" t="n"/>
    </row>
    <row r="971">
      <c r="A971" s="57" t="n"/>
      <c r="B971" s="57" t="n"/>
    </row>
    <row r="972">
      <c r="A972" s="57" t="n"/>
      <c r="B972" s="57" t="n"/>
    </row>
    <row r="973">
      <c r="A973" s="57" t="n"/>
      <c r="B973" s="57" t="n"/>
    </row>
    <row r="974">
      <c r="A974" s="57" t="n"/>
      <c r="B974" s="57" t="n"/>
    </row>
    <row r="975">
      <c r="A975" s="57" t="n"/>
      <c r="B975" s="57" t="n"/>
    </row>
    <row r="976">
      <c r="A976" s="57" t="n"/>
      <c r="B976" s="57" t="n"/>
    </row>
    <row r="977">
      <c r="A977" s="57" t="n"/>
      <c r="B977" s="57" t="n"/>
    </row>
    <row r="978">
      <c r="A978" s="57" t="n"/>
      <c r="B978" s="57" t="n"/>
    </row>
    <row r="979">
      <c r="A979" s="57" t="n"/>
      <c r="B979" s="57" t="n"/>
    </row>
    <row r="980">
      <c r="A980" s="57" t="n"/>
      <c r="B980" s="57" t="n"/>
    </row>
    <row r="981">
      <c r="A981" s="57" t="n"/>
      <c r="B981" s="57" t="n"/>
    </row>
    <row r="982">
      <c r="A982" s="57" t="n"/>
      <c r="B982" s="57" t="n"/>
    </row>
    <row r="983">
      <c r="A983" s="57" t="n"/>
      <c r="B983" s="57" t="n"/>
    </row>
    <row r="984">
      <c r="A984" s="57" t="n"/>
      <c r="B984" s="57" t="n"/>
    </row>
    <row r="985">
      <c r="A985" s="57" t="n"/>
      <c r="B985" s="57" t="n"/>
    </row>
    <row r="986">
      <c r="A986" s="57" t="n"/>
      <c r="B986" s="57" t="n"/>
    </row>
    <row r="987">
      <c r="A987" s="57" t="n"/>
      <c r="B987" s="57" t="n"/>
    </row>
    <row r="988">
      <c r="A988" s="57" t="n"/>
      <c r="B988" s="57" t="n"/>
    </row>
    <row r="989">
      <c r="A989" s="57" t="n"/>
      <c r="B989" s="57" t="n"/>
    </row>
    <row r="990">
      <c r="A990" s="57" t="n"/>
      <c r="B990" s="57" t="n"/>
    </row>
    <row r="991">
      <c r="A991" s="57" t="n"/>
      <c r="B991" s="57" t="n"/>
    </row>
    <row r="992">
      <c r="A992" s="57" t="n"/>
      <c r="B992" s="57" t="n"/>
    </row>
    <row r="993">
      <c r="A993" s="57" t="n"/>
      <c r="B993" s="57" t="n"/>
    </row>
    <row r="994">
      <c r="A994" s="57" t="n"/>
      <c r="B994" s="57" t="n"/>
    </row>
    <row r="995">
      <c r="A995" s="57" t="n"/>
      <c r="B995" s="57" t="n"/>
    </row>
    <row r="996">
      <c r="A996" s="57" t="n"/>
      <c r="B996" s="57" t="n"/>
    </row>
    <row r="997">
      <c r="A997" s="57" t="n"/>
      <c r="B997" s="57" t="n"/>
    </row>
    <row r="998">
      <c r="A998" s="57" t="n"/>
      <c r="B998" s="57" t="n"/>
    </row>
    <row r="999">
      <c r="A999" s="57" t="n"/>
      <c r="B999" s="57" t="n"/>
    </row>
    <row r="1000">
      <c r="A1000" s="57" t="n"/>
      <c r="B1000" s="57" t="n"/>
    </row>
    <row r="1001">
      <c r="A1001" s="57" t="n"/>
      <c r="B1001" s="57" t="n"/>
    </row>
  </sheetData>
  <mergeCells count="22">
    <mergeCell ref="K16:L16"/>
    <mergeCell ref="B3:C3"/>
    <mergeCell ref="B1:G1"/>
    <mergeCell ref="N25:O25"/>
    <mergeCell ref="E17:F17"/>
    <mergeCell ref="K26:L26"/>
    <mergeCell ref="N3:O3"/>
    <mergeCell ref="K20:L20"/>
    <mergeCell ref="K11:L11"/>
    <mergeCell ref="E10:F10"/>
    <mergeCell ref="B2:I2"/>
    <mergeCell ref="N5:O5"/>
    <mergeCell ref="N23:O23"/>
    <mergeCell ref="B19:C19"/>
    <mergeCell ref="K23:L23"/>
    <mergeCell ref="N13:O13"/>
    <mergeCell ref="H3:I3"/>
    <mergeCell ref="K7:L7"/>
    <mergeCell ref="Q3:AB3"/>
    <mergeCell ref="N15:O15"/>
    <mergeCell ref="E3:F3"/>
    <mergeCell ref="K3:L3"/>
  </mergeCells>
  <conditionalFormatting sqref="O4 O14 O24">
    <cfRule type="cellIs" priority="1" operator="greaterThanOrEqual" dxfId="0">
      <formula>"25%"</formula>
    </cfRule>
    <cfRule type="cellIs" priority="2" operator="lessThan" dxfId="1">
      <formula>"15%"</formula>
    </cfRule>
    <cfRule type="cellIs" priority="9" operator="between" dxfId="2">
      <formula>"15%"</formula>
      <formula>"25.00%"</formula>
    </cfRule>
  </conditionalFormatting>
  <conditionalFormatting sqref="L6 L10 L14">
    <cfRule type="cellIs" priority="3" operator="greaterThanOrEqual" dxfId="0">
      <formula>"10%"</formula>
    </cfRule>
    <cfRule type="cellIs" priority="4" operator="lessThan" dxfId="1">
      <formula>"8%"</formula>
    </cfRule>
    <cfRule type="cellIs" priority="5" operator="between" dxfId="2">
      <formula>"8%"</formula>
      <formula>"10.00%"</formula>
    </cfRule>
  </conditionalFormatting>
  <conditionalFormatting sqref="O12 O22 O32">
    <cfRule type="cellIs" priority="6" operator="greaterThanOrEqual" dxfId="0">
      <formula>"40%"</formula>
    </cfRule>
    <cfRule type="cellIs" priority="7" operator="between" dxfId="2">
      <formula>"30%"</formula>
      <formula>"40.00%"</formula>
    </cfRule>
    <cfRule type="cellIs" priority="8" operator="lessThan" dxfId="1">
      <formula>"30%"</formula>
    </cfRule>
  </conditionalFormatting>
  <conditionalFormatting sqref="R8:AC8">
    <cfRule type="cellIs" priority="10" operator="greaterThanOrEqual" dxfId="0">
      <formula>0</formula>
    </cfRule>
  </conditionalFormatting>
  <dataValidations count="6">
    <dataValidation sqref="C7" showDropDown="0" showInputMessage="0" showErrorMessage="0" allowBlank="1" type="list">
      <formula1>"0%,1%,2%,3%,4%,5%,6%"</formula1>
    </dataValidation>
    <dataValidation sqref="C12 C14" showDropDown="0" showInputMessage="0" showErrorMessage="0" allowBlank="1" type="list">
      <formula1>"0,1,2,3,4,5,6,7,8,9,10"</formula1>
    </dataValidation>
    <dataValidation sqref="I18" showDropDown="0" showInputMessage="0" showErrorMessage="0" allowBlank="1" type="list">
      <formula1>"0%,1%,2%,3%,4%,5%,6%,7%,8%,9%,10%,11%,12%,13%,14%,15%,16%,17%,18%,19%,20%,21%,22%,23%,24%,25%,26%,27%,28%,29%,30%,31%,32%,33%,34%,35%,36%,37%,38%,39%,40%,41%,42%,43%,44%,45%,46%,47%,48%,49%,50%"</formula1>
    </dataValidation>
    <dataValidation sqref="F5 F12 F19" showDropDown="0" showInputMessage="0" showErrorMessage="0" allowBlank="1" type="list">
      <formula1>"10%,15%,20%,25%,30%,35%,40%,45%,50%,55%,60%,65%,70%,75%,80%,85%,90%,95%,100%"</formula1>
    </dataValidation>
    <dataValidation sqref="C5" showDropDown="0" showInputMessage="0" showErrorMessage="0" allowBlank="1" type="list">
      <formula1>"0%,1%,2%,3%,4%,5%,6%,7%,8%,9%,10%,11%,12%,13%,14%,15%,16%,17%,18%,19%,20%,21%,22%,23%,24%,25%,26%,27%,28%,29%,30%,100%"</formula1>
    </dataValidation>
    <dataValidation sqref="O8 O18 O28" showDropDown="0" showInputMessage="0" showErrorMessage="0" allowBlank="1" type="list">
      <formula1>"1%,2%,3%,4%,5%,6%,7%,8%,9%,10%,11%,12%,13%,14%,15%"</formula1>
    </dataValidation>
  </dataValidations>
  <hyperlinks>
    <hyperlink xmlns:r="http://schemas.openxmlformats.org/officeDocument/2006/relationships" ref="B19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45" customWidth="1" style="76" min="1" max="1"/>
    <col width="18" customWidth="1" style="76" min="2" max="2"/>
    <col width="18" customWidth="1" style="76" min="3" max="3"/>
    <col width="16" customWidth="1" style="76" min="4" max="4"/>
    <col width="16" customWidth="1" style="76" min="5" max="5"/>
    <col width="16" customWidth="1" style="76" min="6" max="6"/>
    <col width="16" customWidth="1" style="76" min="7" max="7"/>
    <col width="16" customWidth="1" style="76" min="8" max="8"/>
    <col width="16" customWidth="1" style="76" min="9" max="9"/>
    <col width="16" customWidth="1" style="76" min="10" max="10"/>
    <col width="16" customWidth="1" style="76" min="11" max="11"/>
    <col width="16" customWidth="1" style="76" min="12" max="12"/>
  </cols>
  <sheetData>
    <row r="1">
      <c r="A1" s="102" t="inlineStr">
        <is>
          <t>STR OFFER PRICE ANALYZER</t>
        </is>
      </c>
      <c r="B1" s="103" t="n"/>
      <c r="C1" s="103" t="n"/>
      <c r="D1" s="103" t="n"/>
      <c r="E1" s="103" t="n"/>
      <c r="F1" s="103" t="n"/>
      <c r="G1" s="104" t="n"/>
    </row>
    <row r="2">
      <c r="A2" s="105" t="inlineStr">
        <is>
          <t>Find the maximum offer price where Mid &amp; High cap rates exceed 20%</t>
        </is>
      </c>
      <c r="B2" s="103" t="n"/>
      <c r="C2" s="103" t="n"/>
      <c r="D2" s="103" t="n"/>
      <c r="E2" s="103" t="n"/>
      <c r="F2" s="103" t="n"/>
      <c r="G2" s="104" t="n"/>
    </row>
    <row r="4">
      <c r="A4" s="106" t="inlineStr">
        <is>
          <t>REVENUE ASSUMPTIONS</t>
        </is>
      </c>
      <c r="B4" s="103" t="n"/>
      <c r="C4" s="104" t="n"/>
    </row>
    <row r="5">
      <c r="A5" s="107" t="inlineStr">
        <is>
          <t>Low ADR</t>
        </is>
      </c>
      <c r="B5" s="89" t="n">
        <v>0</v>
      </c>
    </row>
    <row r="6">
      <c r="A6" s="107" t="inlineStr">
        <is>
          <t>Low Occupancy</t>
        </is>
      </c>
      <c r="B6" s="91" t="n">
        <v>0.5</v>
      </c>
    </row>
    <row r="7">
      <c r="A7" s="107" t="inlineStr">
        <is>
          <t>Mid ADR</t>
        </is>
      </c>
      <c r="B7" s="89" t="n">
        <v>0</v>
      </c>
    </row>
    <row r="8">
      <c r="A8" s="107" t="inlineStr">
        <is>
          <t>Mid Occupancy</t>
        </is>
      </c>
      <c r="B8" s="91" t="n">
        <v>0.6</v>
      </c>
    </row>
    <row r="9">
      <c r="A9" s="107" t="inlineStr">
        <is>
          <t>High ADR</t>
        </is>
      </c>
      <c r="B9" s="89" t="n">
        <v>0</v>
      </c>
    </row>
    <row r="10">
      <c r="A10" s="107" t="inlineStr">
        <is>
          <t>High Occupancy</t>
        </is>
      </c>
      <c r="B10" s="91" t="n">
        <v>0.75</v>
      </c>
    </row>
    <row r="12">
      <c r="A12" s="106" t="inlineStr">
        <is>
          <t>MONTHLY EXPENSES (excl. property tax &amp; mortgage)</t>
        </is>
      </c>
      <c r="B12" s="103" t="n"/>
      <c r="C12" s="104" t="n"/>
    </row>
    <row r="13">
      <c r="A13" s="107" t="inlineStr">
        <is>
          <t>Insurance</t>
        </is>
      </c>
      <c r="B13" s="108" t="n">
        <v>200</v>
      </c>
    </row>
    <row r="14">
      <c r="A14" s="107" t="inlineStr">
        <is>
          <t>HOA</t>
        </is>
      </c>
      <c r="B14" s="89" t="n">
        <v>0</v>
      </c>
    </row>
    <row r="15">
      <c r="A15" s="107" t="inlineStr">
        <is>
          <t>Water</t>
        </is>
      </c>
      <c r="B15" s="108" t="n">
        <v>50</v>
      </c>
    </row>
    <row r="16">
      <c r="A16" s="107" t="inlineStr">
        <is>
          <t>Gas</t>
        </is>
      </c>
      <c r="B16" s="108" t="n">
        <v>35</v>
      </c>
    </row>
    <row r="17">
      <c r="A17" s="107" t="inlineStr">
        <is>
          <t>Electric</t>
        </is>
      </c>
      <c r="B17" s="108" t="n">
        <v>140</v>
      </c>
    </row>
    <row r="18">
      <c r="A18" s="107" t="inlineStr">
        <is>
          <t>WiFi + Cable</t>
        </is>
      </c>
      <c r="B18" s="108" t="n">
        <v>100</v>
      </c>
    </row>
    <row r="19">
      <c r="A19" s="107" t="inlineStr">
        <is>
          <t>Other Monthly Expenses</t>
        </is>
      </c>
      <c r="B19" s="108" t="n">
        <v>220</v>
      </c>
      <c r="C19" s="109" t="inlineStr">
        <is>
          <t>(Incidentals, Maintenance, PriceLabs, Guesty, etc)</t>
        </is>
      </c>
    </row>
    <row r="20">
      <c r="A20" s="110" t="inlineStr">
        <is>
          <t>Total Fixed Monthly Expenses</t>
        </is>
      </c>
      <c r="B20" s="111">
        <f>SUM(B13:B19)</f>
        <v/>
      </c>
    </row>
    <row r="21">
      <c r="A21" s="107" t="inlineStr">
        <is>
          <t>Airbnb Service Fee %</t>
        </is>
      </c>
      <c r="B21" s="112" t="n">
        <v>0.03</v>
      </c>
    </row>
    <row r="23">
      <c r="A23" s="106" t="inlineStr">
        <is>
          <t>MORTGAGE PARAMETERS</t>
        </is>
      </c>
      <c r="B23" s="103" t="n"/>
      <c r="C23" s="104" t="n"/>
    </row>
    <row r="24">
      <c r="A24" s="107" t="inlineStr">
        <is>
          <t>Interest Rate (Investment, Apr 2026)</t>
        </is>
      </c>
      <c r="B24" s="113" t="n">
        <v>0.0725</v>
      </c>
    </row>
    <row r="25">
      <c r="A25" s="107" t="inlineStr">
        <is>
          <t>Loan Term (months)</t>
        </is>
      </c>
      <c r="B25" s="114" t="n">
        <v>360</v>
      </c>
    </row>
    <row r="26">
      <c r="A26" s="107" t="inlineStr">
        <is>
          <t>Down Payment %</t>
        </is>
      </c>
      <c r="B26" s="112" t="n">
        <v>0.2</v>
      </c>
    </row>
    <row r="27">
      <c r="A27" s="107" t="inlineStr">
        <is>
          <t>Property Tax Rate (Annual)</t>
        </is>
      </c>
      <c r="B27" s="113" t="n">
        <v>0.011</v>
      </c>
    </row>
    <row r="29">
      <c r="A29" s="106" t="inlineStr">
        <is>
          <t>OFFER PRICE SENSITIVITY ANALYSIS</t>
        </is>
      </c>
      <c r="B29" s="103" t="n"/>
      <c r="C29" s="103" t="n"/>
      <c r="D29" s="103" t="n"/>
      <c r="E29" s="103" t="n"/>
      <c r="F29" s="103" t="n"/>
      <c r="G29" s="103" t="n"/>
      <c r="H29" s="103" t="n"/>
      <c r="I29" s="103" t="n"/>
      <c r="J29" s="103" t="n"/>
      <c r="K29" s="104" t="n"/>
    </row>
    <row r="30">
      <c r="A30" s="115" t="inlineStr">
        <is>
          <t>Offer Price</t>
        </is>
      </c>
      <c r="B30" s="115" t="inlineStr">
        <is>
          <t>Monthly Tax</t>
        </is>
      </c>
      <c r="C30" s="115" t="inlineStr">
        <is>
          <t>Monthly Mortgage</t>
        </is>
      </c>
      <c r="D30" s="115" t="inlineStr">
        <is>
          <t>Low Monthly Rev</t>
        </is>
      </c>
      <c r="E30" s="115" t="inlineStr">
        <is>
          <t>Mid Monthly Rev</t>
        </is>
      </c>
      <c r="F30" s="115" t="inlineStr">
        <is>
          <t>High Monthly Rev</t>
        </is>
      </c>
      <c r="G30" s="115" t="inlineStr">
        <is>
          <t>Low NOI (Annual)</t>
        </is>
      </c>
      <c r="H30" s="115" t="inlineStr">
        <is>
          <t>Mid NOI (Annual)</t>
        </is>
      </c>
      <c r="I30" s="115" t="inlineStr">
        <is>
          <t>High NOI (Annual)</t>
        </is>
      </c>
      <c r="J30" s="115" t="inlineStr">
        <is>
          <t>Low Cap Rate</t>
        </is>
      </c>
      <c r="K30" s="115" t="inlineStr">
        <is>
          <t>Mid Cap Rate</t>
        </is>
      </c>
      <c r="L30" s="115" t="inlineStr">
        <is>
          <t>High Cap Rate</t>
        </is>
      </c>
    </row>
    <row r="31">
      <c r="A31" s="116" t="n">
        <v>100000</v>
      </c>
      <c r="B31" s="116">
        <f>A31*$B$27/12</f>
        <v/>
      </c>
      <c r="C31" s="116">
        <f>-PMT($B$24/12,$B$25,A31*(1-$B$26))</f>
        <v/>
      </c>
      <c r="D31" s="116">
        <f>$B$5*365*$B$6/12</f>
        <v/>
      </c>
      <c r="E31" s="116">
        <f>$B$7*365*$B$8/12</f>
        <v/>
      </c>
      <c r="F31" s="116">
        <f>$B$9*365*$B$10/12</f>
        <v/>
      </c>
      <c r="G31" s="116">
        <f>(D31-$B$20-B31-$B$21*D31)*12</f>
        <v/>
      </c>
      <c r="H31" s="116">
        <f>(E31-$B$20-B31-$B$21*E31)*12</f>
        <v/>
      </c>
      <c r="I31" s="116">
        <f>(F31-$B$20-B31-$B$21*F31)*12</f>
        <v/>
      </c>
      <c r="J31" s="117">
        <f>IF(A31=0,0,G31/A31)</f>
        <v/>
      </c>
      <c r="K31" s="117">
        <f>IF(A31=0,0,H31/A31)</f>
        <v/>
      </c>
      <c r="L31" s="117">
        <f>IF(A31=0,0,I31/A31)</f>
        <v/>
      </c>
    </row>
    <row r="32">
      <c r="A32" s="116" t="n">
        <v>125000</v>
      </c>
      <c r="B32" s="116">
        <f>A32*$B$27/12</f>
        <v/>
      </c>
      <c r="C32" s="116">
        <f>-PMT($B$24/12,$B$25,A32*(1-$B$26))</f>
        <v/>
      </c>
      <c r="D32" s="116">
        <f>$B$5*365*$B$6/12</f>
        <v/>
      </c>
      <c r="E32" s="116">
        <f>$B$7*365*$B$8/12</f>
        <v/>
      </c>
      <c r="F32" s="116">
        <f>$B$9*365*$B$10/12</f>
        <v/>
      </c>
      <c r="G32" s="116">
        <f>(D32-$B$20-B32-$B$21*D32)*12</f>
        <v/>
      </c>
      <c r="H32" s="116">
        <f>(E32-$B$20-B32-$B$21*E32)*12</f>
        <v/>
      </c>
      <c r="I32" s="116">
        <f>(F32-$B$20-B32-$B$21*F32)*12</f>
        <v/>
      </c>
      <c r="J32" s="117">
        <f>IF(A32=0,0,G32/A32)</f>
        <v/>
      </c>
      <c r="K32" s="117">
        <f>IF(A32=0,0,H32/A32)</f>
        <v/>
      </c>
      <c r="L32" s="117">
        <f>IF(A32=0,0,I32/A32)</f>
        <v/>
      </c>
    </row>
    <row r="33">
      <c r="A33" s="116" t="n">
        <v>150000</v>
      </c>
      <c r="B33" s="116">
        <f>A33*$B$27/12</f>
        <v/>
      </c>
      <c r="C33" s="116">
        <f>-PMT($B$24/12,$B$25,A33*(1-$B$26))</f>
        <v/>
      </c>
      <c r="D33" s="116">
        <f>$B$5*365*$B$6/12</f>
        <v/>
      </c>
      <c r="E33" s="116">
        <f>$B$7*365*$B$8/12</f>
        <v/>
      </c>
      <c r="F33" s="116">
        <f>$B$9*365*$B$10/12</f>
        <v/>
      </c>
      <c r="G33" s="116">
        <f>(D33-$B$20-B33-$B$21*D33)*12</f>
        <v/>
      </c>
      <c r="H33" s="116">
        <f>(E33-$B$20-B33-$B$21*E33)*12</f>
        <v/>
      </c>
      <c r="I33" s="116">
        <f>(F33-$B$20-B33-$B$21*F33)*12</f>
        <v/>
      </c>
      <c r="J33" s="117">
        <f>IF(A33=0,0,G33/A33)</f>
        <v/>
      </c>
      <c r="K33" s="117">
        <f>IF(A33=0,0,H33/A33)</f>
        <v/>
      </c>
      <c r="L33" s="117">
        <f>IF(A33=0,0,I33/A33)</f>
        <v/>
      </c>
    </row>
    <row r="34">
      <c r="A34" s="116" t="n">
        <v>175000</v>
      </c>
      <c r="B34" s="116">
        <f>A34*$B$27/12</f>
        <v/>
      </c>
      <c r="C34" s="116">
        <f>-PMT($B$24/12,$B$25,A34*(1-$B$26))</f>
        <v/>
      </c>
      <c r="D34" s="116">
        <f>$B$5*365*$B$6/12</f>
        <v/>
      </c>
      <c r="E34" s="116">
        <f>$B$7*365*$B$8/12</f>
        <v/>
      </c>
      <c r="F34" s="116">
        <f>$B$9*365*$B$10/12</f>
        <v/>
      </c>
      <c r="G34" s="116">
        <f>(D34-$B$20-B34-$B$21*D34)*12</f>
        <v/>
      </c>
      <c r="H34" s="116">
        <f>(E34-$B$20-B34-$B$21*E34)*12</f>
        <v/>
      </c>
      <c r="I34" s="116">
        <f>(F34-$B$20-B34-$B$21*F34)*12</f>
        <v/>
      </c>
      <c r="J34" s="117">
        <f>IF(A34=0,0,G34/A34)</f>
        <v/>
      </c>
      <c r="K34" s="117">
        <f>IF(A34=0,0,H34/A34)</f>
        <v/>
      </c>
      <c r="L34" s="117">
        <f>IF(A34=0,0,I34/A34)</f>
        <v/>
      </c>
    </row>
    <row r="35">
      <c r="A35" s="116" t="n">
        <v>200000</v>
      </c>
      <c r="B35" s="116">
        <f>A35*$B$27/12</f>
        <v/>
      </c>
      <c r="C35" s="116">
        <f>-PMT($B$24/12,$B$25,A35*(1-$B$26))</f>
        <v/>
      </c>
      <c r="D35" s="116">
        <f>$B$5*365*$B$6/12</f>
        <v/>
      </c>
      <c r="E35" s="116">
        <f>$B$7*365*$B$8/12</f>
        <v/>
      </c>
      <c r="F35" s="116">
        <f>$B$9*365*$B$10/12</f>
        <v/>
      </c>
      <c r="G35" s="116">
        <f>(D35-$B$20-B35-$B$21*D35)*12</f>
        <v/>
      </c>
      <c r="H35" s="116">
        <f>(E35-$B$20-B35-$B$21*E35)*12</f>
        <v/>
      </c>
      <c r="I35" s="116">
        <f>(F35-$B$20-B35-$B$21*F35)*12</f>
        <v/>
      </c>
      <c r="J35" s="117">
        <f>IF(A35=0,0,G35/A35)</f>
        <v/>
      </c>
      <c r="K35" s="117">
        <f>IF(A35=0,0,H35/A35)</f>
        <v/>
      </c>
      <c r="L35" s="117">
        <f>IF(A35=0,0,I35/A35)</f>
        <v/>
      </c>
    </row>
    <row r="36">
      <c r="A36" s="116" t="n">
        <v>225000</v>
      </c>
      <c r="B36" s="116">
        <f>A36*$B$27/12</f>
        <v/>
      </c>
      <c r="C36" s="116">
        <f>-PMT($B$24/12,$B$25,A36*(1-$B$26))</f>
        <v/>
      </c>
      <c r="D36" s="116">
        <f>$B$5*365*$B$6/12</f>
        <v/>
      </c>
      <c r="E36" s="116">
        <f>$B$7*365*$B$8/12</f>
        <v/>
      </c>
      <c r="F36" s="116">
        <f>$B$9*365*$B$10/12</f>
        <v/>
      </c>
      <c r="G36" s="116">
        <f>(D36-$B$20-B36-$B$21*D36)*12</f>
        <v/>
      </c>
      <c r="H36" s="116">
        <f>(E36-$B$20-B36-$B$21*E36)*12</f>
        <v/>
      </c>
      <c r="I36" s="116">
        <f>(F36-$B$20-B36-$B$21*F36)*12</f>
        <v/>
      </c>
      <c r="J36" s="117">
        <f>IF(A36=0,0,G36/A36)</f>
        <v/>
      </c>
      <c r="K36" s="117">
        <f>IF(A36=0,0,H36/A36)</f>
        <v/>
      </c>
      <c r="L36" s="117">
        <f>IF(A36=0,0,I36/A36)</f>
        <v/>
      </c>
    </row>
    <row r="37">
      <c r="A37" s="116" t="n">
        <v>250000</v>
      </c>
      <c r="B37" s="116">
        <f>A37*$B$27/12</f>
        <v/>
      </c>
      <c r="C37" s="116">
        <f>-PMT($B$24/12,$B$25,A37*(1-$B$26))</f>
        <v/>
      </c>
      <c r="D37" s="116">
        <f>$B$5*365*$B$6/12</f>
        <v/>
      </c>
      <c r="E37" s="116">
        <f>$B$7*365*$B$8/12</f>
        <v/>
      </c>
      <c r="F37" s="116">
        <f>$B$9*365*$B$10/12</f>
        <v/>
      </c>
      <c r="G37" s="116">
        <f>(D37-$B$20-B37-$B$21*D37)*12</f>
        <v/>
      </c>
      <c r="H37" s="116">
        <f>(E37-$B$20-B37-$B$21*E37)*12</f>
        <v/>
      </c>
      <c r="I37" s="116">
        <f>(F37-$B$20-B37-$B$21*F37)*12</f>
        <v/>
      </c>
      <c r="J37" s="117">
        <f>IF(A37=0,0,G37/A37)</f>
        <v/>
      </c>
      <c r="K37" s="117">
        <f>IF(A37=0,0,H37/A37)</f>
        <v/>
      </c>
      <c r="L37" s="117">
        <f>IF(A37=0,0,I37/A37)</f>
        <v/>
      </c>
    </row>
    <row r="38">
      <c r="A38" s="116" t="n">
        <v>275000</v>
      </c>
      <c r="B38" s="116">
        <f>A38*$B$27/12</f>
        <v/>
      </c>
      <c r="C38" s="116">
        <f>-PMT($B$24/12,$B$25,A38*(1-$B$26))</f>
        <v/>
      </c>
      <c r="D38" s="116">
        <f>$B$5*365*$B$6/12</f>
        <v/>
      </c>
      <c r="E38" s="116">
        <f>$B$7*365*$B$8/12</f>
        <v/>
      </c>
      <c r="F38" s="116">
        <f>$B$9*365*$B$10/12</f>
        <v/>
      </c>
      <c r="G38" s="116">
        <f>(D38-$B$20-B38-$B$21*D38)*12</f>
        <v/>
      </c>
      <c r="H38" s="116">
        <f>(E38-$B$20-B38-$B$21*E38)*12</f>
        <v/>
      </c>
      <c r="I38" s="116">
        <f>(F38-$B$20-B38-$B$21*F38)*12</f>
        <v/>
      </c>
      <c r="J38" s="117">
        <f>IF(A38=0,0,G38/A38)</f>
        <v/>
      </c>
      <c r="K38" s="117">
        <f>IF(A38=0,0,H38/A38)</f>
        <v/>
      </c>
      <c r="L38" s="117">
        <f>IF(A38=0,0,I38/A38)</f>
        <v/>
      </c>
    </row>
    <row r="39">
      <c r="A39" s="116" t="n">
        <v>300000</v>
      </c>
      <c r="B39" s="116">
        <f>A39*$B$27/12</f>
        <v/>
      </c>
      <c r="C39" s="116">
        <f>-PMT($B$24/12,$B$25,A39*(1-$B$26))</f>
        <v/>
      </c>
      <c r="D39" s="116">
        <f>$B$5*365*$B$6/12</f>
        <v/>
      </c>
      <c r="E39" s="116">
        <f>$B$7*365*$B$8/12</f>
        <v/>
      </c>
      <c r="F39" s="116">
        <f>$B$9*365*$B$10/12</f>
        <v/>
      </c>
      <c r="G39" s="116">
        <f>(D39-$B$20-B39-$B$21*D39)*12</f>
        <v/>
      </c>
      <c r="H39" s="116">
        <f>(E39-$B$20-B39-$B$21*E39)*12</f>
        <v/>
      </c>
      <c r="I39" s="116">
        <f>(F39-$B$20-B39-$B$21*F39)*12</f>
        <v/>
      </c>
      <c r="J39" s="117">
        <f>IF(A39=0,0,G39/A39)</f>
        <v/>
      </c>
      <c r="K39" s="117">
        <f>IF(A39=0,0,H39/A39)</f>
        <v/>
      </c>
      <c r="L39" s="117">
        <f>IF(A39=0,0,I39/A39)</f>
        <v/>
      </c>
    </row>
    <row r="40">
      <c r="A40" s="116" t="n">
        <v>325000</v>
      </c>
      <c r="B40" s="116">
        <f>A40*$B$27/12</f>
        <v/>
      </c>
      <c r="C40" s="116">
        <f>-PMT($B$24/12,$B$25,A40*(1-$B$26))</f>
        <v/>
      </c>
      <c r="D40" s="116">
        <f>$B$5*365*$B$6/12</f>
        <v/>
      </c>
      <c r="E40" s="116">
        <f>$B$7*365*$B$8/12</f>
        <v/>
      </c>
      <c r="F40" s="116">
        <f>$B$9*365*$B$10/12</f>
        <v/>
      </c>
      <c r="G40" s="116">
        <f>(D40-$B$20-B40-$B$21*D40)*12</f>
        <v/>
      </c>
      <c r="H40" s="116">
        <f>(E40-$B$20-B40-$B$21*E40)*12</f>
        <v/>
      </c>
      <c r="I40" s="116">
        <f>(F40-$B$20-B40-$B$21*F40)*12</f>
        <v/>
      </c>
      <c r="J40" s="117">
        <f>IF(A40=0,0,G40/A40)</f>
        <v/>
      </c>
      <c r="K40" s="117">
        <f>IF(A40=0,0,H40/A40)</f>
        <v/>
      </c>
      <c r="L40" s="117">
        <f>IF(A40=0,0,I40/A40)</f>
        <v/>
      </c>
    </row>
    <row r="41">
      <c r="A41" s="116" t="n">
        <v>350000</v>
      </c>
      <c r="B41" s="116">
        <f>A41*$B$27/12</f>
        <v/>
      </c>
      <c r="C41" s="116">
        <f>-PMT($B$24/12,$B$25,A41*(1-$B$26))</f>
        <v/>
      </c>
      <c r="D41" s="116">
        <f>$B$5*365*$B$6/12</f>
        <v/>
      </c>
      <c r="E41" s="116">
        <f>$B$7*365*$B$8/12</f>
        <v/>
      </c>
      <c r="F41" s="116">
        <f>$B$9*365*$B$10/12</f>
        <v/>
      </c>
      <c r="G41" s="116">
        <f>(D41-$B$20-B41-$B$21*D41)*12</f>
        <v/>
      </c>
      <c r="H41" s="116">
        <f>(E41-$B$20-B41-$B$21*E41)*12</f>
        <v/>
      </c>
      <c r="I41" s="116">
        <f>(F41-$B$20-B41-$B$21*F41)*12</f>
        <v/>
      </c>
      <c r="J41" s="117">
        <f>IF(A41=0,0,G41/A41)</f>
        <v/>
      </c>
      <c r="K41" s="117">
        <f>IF(A41=0,0,H41/A41)</f>
        <v/>
      </c>
      <c r="L41" s="117">
        <f>IF(A41=0,0,I41/A41)</f>
        <v/>
      </c>
    </row>
    <row r="42">
      <c r="A42" s="116" t="n">
        <v>375000</v>
      </c>
      <c r="B42" s="116">
        <f>A42*$B$27/12</f>
        <v/>
      </c>
      <c r="C42" s="116">
        <f>-PMT($B$24/12,$B$25,A42*(1-$B$26))</f>
        <v/>
      </c>
      <c r="D42" s="116">
        <f>$B$5*365*$B$6/12</f>
        <v/>
      </c>
      <c r="E42" s="116">
        <f>$B$7*365*$B$8/12</f>
        <v/>
      </c>
      <c r="F42" s="116">
        <f>$B$9*365*$B$10/12</f>
        <v/>
      </c>
      <c r="G42" s="116">
        <f>(D42-$B$20-B42-$B$21*D42)*12</f>
        <v/>
      </c>
      <c r="H42" s="116">
        <f>(E42-$B$20-B42-$B$21*E42)*12</f>
        <v/>
      </c>
      <c r="I42" s="116">
        <f>(F42-$B$20-B42-$B$21*F42)*12</f>
        <v/>
      </c>
      <c r="J42" s="117">
        <f>IF(A42=0,0,G42/A42)</f>
        <v/>
      </c>
      <c r="K42" s="117">
        <f>IF(A42=0,0,H42/A42)</f>
        <v/>
      </c>
      <c r="L42" s="117">
        <f>IF(A42=0,0,I42/A42)</f>
        <v/>
      </c>
    </row>
    <row r="43">
      <c r="A43" s="116" t="n">
        <v>400000</v>
      </c>
      <c r="B43" s="116">
        <f>A43*$B$27/12</f>
        <v/>
      </c>
      <c r="C43" s="116">
        <f>-PMT($B$24/12,$B$25,A43*(1-$B$26))</f>
        <v/>
      </c>
      <c r="D43" s="116">
        <f>$B$5*365*$B$6/12</f>
        <v/>
      </c>
      <c r="E43" s="116">
        <f>$B$7*365*$B$8/12</f>
        <v/>
      </c>
      <c r="F43" s="116">
        <f>$B$9*365*$B$10/12</f>
        <v/>
      </c>
      <c r="G43" s="116">
        <f>(D43-$B$20-B43-$B$21*D43)*12</f>
        <v/>
      </c>
      <c r="H43" s="116">
        <f>(E43-$B$20-B43-$B$21*E43)*12</f>
        <v/>
      </c>
      <c r="I43" s="116">
        <f>(F43-$B$20-B43-$B$21*F43)*12</f>
        <v/>
      </c>
      <c r="J43" s="117">
        <f>IF(A43=0,0,G43/A43)</f>
        <v/>
      </c>
      <c r="K43" s="117">
        <f>IF(A43=0,0,H43/A43)</f>
        <v/>
      </c>
      <c r="L43" s="117">
        <f>IF(A43=0,0,I43/A43)</f>
        <v/>
      </c>
    </row>
    <row r="44">
      <c r="A44" s="116" t="n">
        <v>425000</v>
      </c>
      <c r="B44" s="116">
        <f>A44*$B$27/12</f>
        <v/>
      </c>
      <c r="C44" s="116">
        <f>-PMT($B$24/12,$B$25,A44*(1-$B$26))</f>
        <v/>
      </c>
      <c r="D44" s="116">
        <f>$B$5*365*$B$6/12</f>
        <v/>
      </c>
      <c r="E44" s="116">
        <f>$B$7*365*$B$8/12</f>
        <v/>
      </c>
      <c r="F44" s="116">
        <f>$B$9*365*$B$10/12</f>
        <v/>
      </c>
      <c r="G44" s="116">
        <f>(D44-$B$20-B44-$B$21*D44)*12</f>
        <v/>
      </c>
      <c r="H44" s="116">
        <f>(E44-$B$20-B44-$B$21*E44)*12</f>
        <v/>
      </c>
      <c r="I44" s="116">
        <f>(F44-$B$20-B44-$B$21*F44)*12</f>
        <v/>
      </c>
      <c r="J44" s="117">
        <f>IF(A44=0,0,G44/A44)</f>
        <v/>
      </c>
      <c r="K44" s="117">
        <f>IF(A44=0,0,H44/A44)</f>
        <v/>
      </c>
      <c r="L44" s="117">
        <f>IF(A44=0,0,I44/A44)</f>
        <v/>
      </c>
    </row>
    <row r="45">
      <c r="A45" s="116" t="n">
        <v>450000</v>
      </c>
      <c r="B45" s="116">
        <f>A45*$B$27/12</f>
        <v/>
      </c>
      <c r="C45" s="116">
        <f>-PMT($B$24/12,$B$25,A45*(1-$B$26))</f>
        <v/>
      </c>
      <c r="D45" s="116">
        <f>$B$5*365*$B$6/12</f>
        <v/>
      </c>
      <c r="E45" s="116">
        <f>$B$7*365*$B$8/12</f>
        <v/>
      </c>
      <c r="F45" s="116">
        <f>$B$9*365*$B$10/12</f>
        <v/>
      </c>
      <c r="G45" s="116">
        <f>(D45-$B$20-B45-$B$21*D45)*12</f>
        <v/>
      </c>
      <c r="H45" s="116">
        <f>(E45-$B$20-B45-$B$21*E45)*12</f>
        <v/>
      </c>
      <c r="I45" s="116">
        <f>(F45-$B$20-B45-$B$21*F45)*12</f>
        <v/>
      </c>
      <c r="J45" s="117">
        <f>IF(A45=0,0,G45/A45)</f>
        <v/>
      </c>
      <c r="K45" s="117">
        <f>IF(A45=0,0,H45/A45)</f>
        <v/>
      </c>
      <c r="L45" s="117">
        <f>IF(A45=0,0,I45/A45)</f>
        <v/>
      </c>
    </row>
    <row r="46">
      <c r="A46" s="116" t="n">
        <v>475000</v>
      </c>
      <c r="B46" s="116">
        <f>A46*$B$27/12</f>
        <v/>
      </c>
      <c r="C46" s="116">
        <f>-PMT($B$24/12,$B$25,A46*(1-$B$26))</f>
        <v/>
      </c>
      <c r="D46" s="116">
        <f>$B$5*365*$B$6/12</f>
        <v/>
      </c>
      <c r="E46" s="116">
        <f>$B$7*365*$B$8/12</f>
        <v/>
      </c>
      <c r="F46" s="116">
        <f>$B$9*365*$B$10/12</f>
        <v/>
      </c>
      <c r="G46" s="116">
        <f>(D46-$B$20-B46-$B$21*D46)*12</f>
        <v/>
      </c>
      <c r="H46" s="116">
        <f>(E46-$B$20-B46-$B$21*E46)*12</f>
        <v/>
      </c>
      <c r="I46" s="116">
        <f>(F46-$B$20-B46-$B$21*F46)*12</f>
        <v/>
      </c>
      <c r="J46" s="117">
        <f>IF(A46=0,0,G46/A46)</f>
        <v/>
      </c>
      <c r="K46" s="117">
        <f>IF(A46=0,0,H46/A46)</f>
        <v/>
      </c>
      <c r="L46" s="117">
        <f>IF(A46=0,0,I46/A46)</f>
        <v/>
      </c>
    </row>
    <row r="47">
      <c r="A47" s="116" t="n">
        <v>500000</v>
      </c>
      <c r="B47" s="116">
        <f>A47*$B$27/12</f>
        <v/>
      </c>
      <c r="C47" s="116">
        <f>-PMT($B$24/12,$B$25,A47*(1-$B$26))</f>
        <v/>
      </c>
      <c r="D47" s="116">
        <f>$B$5*365*$B$6/12</f>
        <v/>
      </c>
      <c r="E47" s="116">
        <f>$B$7*365*$B$8/12</f>
        <v/>
      </c>
      <c r="F47" s="116">
        <f>$B$9*365*$B$10/12</f>
        <v/>
      </c>
      <c r="G47" s="116">
        <f>(D47-$B$20-B47-$B$21*D47)*12</f>
        <v/>
      </c>
      <c r="H47" s="116">
        <f>(E47-$B$20-B47-$B$21*E47)*12</f>
        <v/>
      </c>
      <c r="I47" s="116">
        <f>(F47-$B$20-B47-$B$21*F47)*12</f>
        <v/>
      </c>
      <c r="J47" s="117">
        <f>IF(A47=0,0,G47/A47)</f>
        <v/>
      </c>
      <c r="K47" s="117">
        <f>IF(A47=0,0,H47/A47)</f>
        <v/>
      </c>
      <c r="L47" s="117">
        <f>IF(A47=0,0,I47/A47)</f>
        <v/>
      </c>
    </row>
    <row r="48">
      <c r="A48" s="116" t="n">
        <v>525000</v>
      </c>
      <c r="B48" s="116">
        <f>A48*$B$27/12</f>
        <v/>
      </c>
      <c r="C48" s="116">
        <f>-PMT($B$24/12,$B$25,A48*(1-$B$26))</f>
        <v/>
      </c>
      <c r="D48" s="116">
        <f>$B$5*365*$B$6/12</f>
        <v/>
      </c>
      <c r="E48" s="116">
        <f>$B$7*365*$B$8/12</f>
        <v/>
      </c>
      <c r="F48" s="116">
        <f>$B$9*365*$B$10/12</f>
        <v/>
      </c>
      <c r="G48" s="116">
        <f>(D48-$B$20-B48-$B$21*D48)*12</f>
        <v/>
      </c>
      <c r="H48" s="116">
        <f>(E48-$B$20-B48-$B$21*E48)*12</f>
        <v/>
      </c>
      <c r="I48" s="116">
        <f>(F48-$B$20-B48-$B$21*F48)*12</f>
        <v/>
      </c>
      <c r="J48" s="117">
        <f>IF(A48=0,0,G48/A48)</f>
        <v/>
      </c>
      <c r="K48" s="117">
        <f>IF(A48=0,0,H48/A48)</f>
        <v/>
      </c>
      <c r="L48" s="117">
        <f>IF(A48=0,0,I48/A48)</f>
        <v/>
      </c>
    </row>
    <row r="49">
      <c r="A49" s="116" t="n">
        <v>550000</v>
      </c>
      <c r="B49" s="116">
        <f>A49*$B$27/12</f>
        <v/>
      </c>
      <c r="C49" s="116">
        <f>-PMT($B$24/12,$B$25,A49*(1-$B$26))</f>
        <v/>
      </c>
      <c r="D49" s="116">
        <f>$B$5*365*$B$6/12</f>
        <v/>
      </c>
      <c r="E49" s="116">
        <f>$B$7*365*$B$8/12</f>
        <v/>
      </c>
      <c r="F49" s="116">
        <f>$B$9*365*$B$10/12</f>
        <v/>
      </c>
      <c r="G49" s="116">
        <f>(D49-$B$20-B49-$B$21*D49)*12</f>
        <v/>
      </c>
      <c r="H49" s="116">
        <f>(E49-$B$20-B49-$B$21*E49)*12</f>
        <v/>
      </c>
      <c r="I49" s="116">
        <f>(F49-$B$20-B49-$B$21*F49)*12</f>
        <v/>
      </c>
      <c r="J49" s="117">
        <f>IF(A49=0,0,G49/A49)</f>
        <v/>
      </c>
      <c r="K49" s="117">
        <f>IF(A49=0,0,H49/A49)</f>
        <v/>
      </c>
      <c r="L49" s="117">
        <f>IF(A49=0,0,I49/A49)</f>
        <v/>
      </c>
    </row>
    <row r="50">
      <c r="A50" s="116" t="n">
        <v>575000</v>
      </c>
      <c r="B50" s="116">
        <f>A50*$B$27/12</f>
        <v/>
      </c>
      <c r="C50" s="116">
        <f>-PMT($B$24/12,$B$25,A50*(1-$B$26))</f>
        <v/>
      </c>
      <c r="D50" s="116">
        <f>$B$5*365*$B$6/12</f>
        <v/>
      </c>
      <c r="E50" s="116">
        <f>$B$7*365*$B$8/12</f>
        <v/>
      </c>
      <c r="F50" s="116">
        <f>$B$9*365*$B$10/12</f>
        <v/>
      </c>
      <c r="G50" s="116">
        <f>(D50-$B$20-B50-$B$21*D50)*12</f>
        <v/>
      </c>
      <c r="H50" s="116">
        <f>(E50-$B$20-B50-$B$21*E50)*12</f>
        <v/>
      </c>
      <c r="I50" s="116">
        <f>(F50-$B$20-B50-$B$21*F50)*12</f>
        <v/>
      </c>
      <c r="J50" s="117">
        <f>IF(A50=0,0,G50/A50)</f>
        <v/>
      </c>
      <c r="K50" s="117">
        <f>IF(A50=0,0,H50/A50)</f>
        <v/>
      </c>
      <c r="L50" s="117">
        <f>IF(A50=0,0,I50/A50)</f>
        <v/>
      </c>
    </row>
    <row r="51">
      <c r="A51" s="116" t="n">
        <v>600000</v>
      </c>
      <c r="B51" s="116">
        <f>A51*$B$27/12</f>
        <v/>
      </c>
      <c r="C51" s="116">
        <f>-PMT($B$24/12,$B$25,A51*(1-$B$26))</f>
        <v/>
      </c>
      <c r="D51" s="116">
        <f>$B$5*365*$B$6/12</f>
        <v/>
      </c>
      <c r="E51" s="116">
        <f>$B$7*365*$B$8/12</f>
        <v/>
      </c>
      <c r="F51" s="116">
        <f>$B$9*365*$B$10/12</f>
        <v/>
      </c>
      <c r="G51" s="116">
        <f>(D51-$B$20-B51-$B$21*D51)*12</f>
        <v/>
      </c>
      <c r="H51" s="116">
        <f>(E51-$B$20-B51-$B$21*E51)*12</f>
        <v/>
      </c>
      <c r="I51" s="116">
        <f>(F51-$B$20-B51-$B$21*F51)*12</f>
        <v/>
      </c>
      <c r="J51" s="117">
        <f>IF(A51=0,0,G51/A51)</f>
        <v/>
      </c>
      <c r="K51" s="117">
        <f>IF(A51=0,0,H51/A51)</f>
        <v/>
      </c>
      <c r="L51" s="117">
        <f>IF(A51=0,0,I51/A51)</f>
        <v/>
      </c>
    </row>
    <row r="52">
      <c r="A52" s="116" t="n">
        <v>625000</v>
      </c>
      <c r="B52" s="116">
        <f>A52*$B$27/12</f>
        <v/>
      </c>
      <c r="C52" s="116">
        <f>-PMT($B$24/12,$B$25,A52*(1-$B$26))</f>
        <v/>
      </c>
      <c r="D52" s="116">
        <f>$B$5*365*$B$6/12</f>
        <v/>
      </c>
      <c r="E52" s="116">
        <f>$B$7*365*$B$8/12</f>
        <v/>
      </c>
      <c r="F52" s="116">
        <f>$B$9*365*$B$10/12</f>
        <v/>
      </c>
      <c r="G52" s="116">
        <f>(D52-$B$20-B52-$B$21*D52)*12</f>
        <v/>
      </c>
      <c r="H52" s="116">
        <f>(E52-$B$20-B52-$B$21*E52)*12</f>
        <v/>
      </c>
      <c r="I52" s="116">
        <f>(F52-$B$20-B52-$B$21*F52)*12</f>
        <v/>
      </c>
      <c r="J52" s="117">
        <f>IF(A52=0,0,G52/A52)</f>
        <v/>
      </c>
      <c r="K52" s="117">
        <f>IF(A52=0,0,H52/A52)</f>
        <v/>
      </c>
      <c r="L52" s="117">
        <f>IF(A52=0,0,I52/A52)</f>
        <v/>
      </c>
    </row>
    <row r="53">
      <c r="A53" s="116" t="n">
        <v>650000</v>
      </c>
      <c r="B53" s="116">
        <f>A53*$B$27/12</f>
        <v/>
      </c>
      <c r="C53" s="116">
        <f>-PMT($B$24/12,$B$25,A53*(1-$B$26))</f>
        <v/>
      </c>
      <c r="D53" s="116">
        <f>$B$5*365*$B$6/12</f>
        <v/>
      </c>
      <c r="E53" s="116">
        <f>$B$7*365*$B$8/12</f>
        <v/>
      </c>
      <c r="F53" s="116">
        <f>$B$9*365*$B$10/12</f>
        <v/>
      </c>
      <c r="G53" s="116">
        <f>(D53-$B$20-B53-$B$21*D53)*12</f>
        <v/>
      </c>
      <c r="H53" s="116">
        <f>(E53-$B$20-B53-$B$21*E53)*12</f>
        <v/>
      </c>
      <c r="I53" s="116">
        <f>(F53-$B$20-B53-$B$21*F53)*12</f>
        <v/>
      </c>
      <c r="J53" s="117">
        <f>IF(A53=0,0,G53/A53)</f>
        <v/>
      </c>
      <c r="K53" s="117">
        <f>IF(A53=0,0,H53/A53)</f>
        <v/>
      </c>
      <c r="L53" s="117">
        <f>IF(A53=0,0,I53/A53)</f>
        <v/>
      </c>
    </row>
    <row r="54">
      <c r="A54" s="116" t="n">
        <v>675000</v>
      </c>
      <c r="B54" s="116">
        <f>A54*$B$27/12</f>
        <v/>
      </c>
      <c r="C54" s="116">
        <f>-PMT($B$24/12,$B$25,A54*(1-$B$26))</f>
        <v/>
      </c>
      <c r="D54" s="116">
        <f>$B$5*365*$B$6/12</f>
        <v/>
      </c>
      <c r="E54" s="116">
        <f>$B$7*365*$B$8/12</f>
        <v/>
      </c>
      <c r="F54" s="116">
        <f>$B$9*365*$B$10/12</f>
        <v/>
      </c>
      <c r="G54" s="116">
        <f>(D54-$B$20-B54-$B$21*D54)*12</f>
        <v/>
      </c>
      <c r="H54" s="116">
        <f>(E54-$B$20-B54-$B$21*E54)*12</f>
        <v/>
      </c>
      <c r="I54" s="116">
        <f>(F54-$B$20-B54-$B$21*F54)*12</f>
        <v/>
      </c>
      <c r="J54" s="117">
        <f>IF(A54=0,0,G54/A54)</f>
        <v/>
      </c>
      <c r="K54" s="117">
        <f>IF(A54=0,0,H54/A54)</f>
        <v/>
      </c>
      <c r="L54" s="117">
        <f>IF(A54=0,0,I54/A54)</f>
        <v/>
      </c>
    </row>
    <row r="55">
      <c r="A55" s="116" t="n">
        <v>700000</v>
      </c>
      <c r="B55" s="116">
        <f>A55*$B$27/12</f>
        <v/>
      </c>
      <c r="C55" s="116">
        <f>-PMT($B$24/12,$B$25,A55*(1-$B$26))</f>
        <v/>
      </c>
      <c r="D55" s="116">
        <f>$B$5*365*$B$6/12</f>
        <v/>
      </c>
      <c r="E55" s="116">
        <f>$B$7*365*$B$8/12</f>
        <v/>
      </c>
      <c r="F55" s="116">
        <f>$B$9*365*$B$10/12</f>
        <v/>
      </c>
      <c r="G55" s="116">
        <f>(D55-$B$20-B55-$B$21*D55)*12</f>
        <v/>
      </c>
      <c r="H55" s="116">
        <f>(E55-$B$20-B55-$B$21*E55)*12</f>
        <v/>
      </c>
      <c r="I55" s="116">
        <f>(F55-$B$20-B55-$B$21*F55)*12</f>
        <v/>
      </c>
      <c r="J55" s="117">
        <f>IF(A55=0,0,G55/A55)</f>
        <v/>
      </c>
      <c r="K55" s="117">
        <f>IF(A55=0,0,H55/A55)</f>
        <v/>
      </c>
      <c r="L55" s="117">
        <f>IF(A55=0,0,I55/A55)</f>
        <v/>
      </c>
    </row>
    <row r="56">
      <c r="A56" s="116" t="n">
        <v>725000</v>
      </c>
      <c r="B56" s="116">
        <f>A56*$B$27/12</f>
        <v/>
      </c>
      <c r="C56" s="116">
        <f>-PMT($B$24/12,$B$25,A56*(1-$B$26))</f>
        <v/>
      </c>
      <c r="D56" s="116">
        <f>$B$5*365*$B$6/12</f>
        <v/>
      </c>
      <c r="E56" s="116">
        <f>$B$7*365*$B$8/12</f>
        <v/>
      </c>
      <c r="F56" s="116">
        <f>$B$9*365*$B$10/12</f>
        <v/>
      </c>
      <c r="G56" s="116">
        <f>(D56-$B$20-B56-$B$21*D56)*12</f>
        <v/>
      </c>
      <c r="H56" s="116">
        <f>(E56-$B$20-B56-$B$21*E56)*12</f>
        <v/>
      </c>
      <c r="I56" s="116">
        <f>(F56-$B$20-B56-$B$21*F56)*12</f>
        <v/>
      </c>
      <c r="J56" s="117">
        <f>IF(A56=0,0,G56/A56)</f>
        <v/>
      </c>
      <c r="K56" s="117">
        <f>IF(A56=0,0,H56/A56)</f>
        <v/>
      </c>
      <c r="L56" s="117">
        <f>IF(A56=0,0,I56/A56)</f>
        <v/>
      </c>
    </row>
    <row r="57">
      <c r="A57" s="116" t="n">
        <v>750000</v>
      </c>
      <c r="B57" s="116">
        <f>A57*$B$27/12</f>
        <v/>
      </c>
      <c r="C57" s="116">
        <f>-PMT($B$24/12,$B$25,A57*(1-$B$26))</f>
        <v/>
      </c>
      <c r="D57" s="116">
        <f>$B$5*365*$B$6/12</f>
        <v/>
      </c>
      <c r="E57" s="116">
        <f>$B$7*365*$B$8/12</f>
        <v/>
      </c>
      <c r="F57" s="116">
        <f>$B$9*365*$B$10/12</f>
        <v/>
      </c>
      <c r="G57" s="116">
        <f>(D57-$B$20-B57-$B$21*D57)*12</f>
        <v/>
      </c>
      <c r="H57" s="116">
        <f>(E57-$B$20-B57-$B$21*E57)*12</f>
        <v/>
      </c>
      <c r="I57" s="116">
        <f>(F57-$B$20-B57-$B$21*F57)*12</f>
        <v/>
      </c>
      <c r="J57" s="117">
        <f>IF(A57=0,0,G57/A57)</f>
        <v/>
      </c>
      <c r="K57" s="117">
        <f>IF(A57=0,0,H57/A57)</f>
        <v/>
      </c>
      <c r="L57" s="117">
        <f>IF(A57=0,0,I57/A57)</f>
        <v/>
      </c>
    </row>
    <row r="58">
      <c r="A58" s="116" t="n">
        <v>775000</v>
      </c>
      <c r="B58" s="116">
        <f>A58*$B$27/12</f>
        <v/>
      </c>
      <c r="C58" s="116">
        <f>-PMT($B$24/12,$B$25,A58*(1-$B$26))</f>
        <v/>
      </c>
      <c r="D58" s="116">
        <f>$B$5*365*$B$6/12</f>
        <v/>
      </c>
      <c r="E58" s="116">
        <f>$B$7*365*$B$8/12</f>
        <v/>
      </c>
      <c r="F58" s="116">
        <f>$B$9*365*$B$10/12</f>
        <v/>
      </c>
      <c r="G58" s="116">
        <f>(D58-$B$20-B58-$B$21*D58)*12</f>
        <v/>
      </c>
      <c r="H58" s="116">
        <f>(E58-$B$20-B58-$B$21*E58)*12</f>
        <v/>
      </c>
      <c r="I58" s="116">
        <f>(F58-$B$20-B58-$B$21*F58)*12</f>
        <v/>
      </c>
      <c r="J58" s="117">
        <f>IF(A58=0,0,G58/A58)</f>
        <v/>
      </c>
      <c r="K58" s="117">
        <f>IF(A58=0,0,H58/A58)</f>
        <v/>
      </c>
      <c r="L58" s="117">
        <f>IF(A58=0,0,I58/A58)</f>
        <v/>
      </c>
    </row>
    <row r="59">
      <c r="A59" s="116" t="n">
        <v>800000</v>
      </c>
      <c r="B59" s="116">
        <f>A59*$B$27/12</f>
        <v/>
      </c>
      <c r="C59" s="116">
        <f>-PMT($B$24/12,$B$25,A59*(1-$B$26))</f>
        <v/>
      </c>
      <c r="D59" s="116">
        <f>$B$5*365*$B$6/12</f>
        <v/>
      </c>
      <c r="E59" s="116">
        <f>$B$7*365*$B$8/12</f>
        <v/>
      </c>
      <c r="F59" s="116">
        <f>$B$9*365*$B$10/12</f>
        <v/>
      </c>
      <c r="G59" s="116">
        <f>(D59-$B$20-B59-$B$21*D59)*12</f>
        <v/>
      </c>
      <c r="H59" s="116">
        <f>(E59-$B$20-B59-$B$21*E59)*12</f>
        <v/>
      </c>
      <c r="I59" s="116">
        <f>(F59-$B$20-B59-$B$21*F59)*12</f>
        <v/>
      </c>
      <c r="J59" s="117">
        <f>IF(A59=0,0,G59/A59)</f>
        <v/>
      </c>
      <c r="K59" s="117">
        <f>IF(A59=0,0,H59/A59)</f>
        <v/>
      </c>
      <c r="L59" s="117">
        <f>IF(A59=0,0,I59/A59)</f>
        <v/>
      </c>
    </row>
    <row r="60">
      <c r="A60" s="116" t="n">
        <v>825000</v>
      </c>
      <c r="B60" s="116">
        <f>A60*$B$27/12</f>
        <v/>
      </c>
      <c r="C60" s="116">
        <f>-PMT($B$24/12,$B$25,A60*(1-$B$26))</f>
        <v/>
      </c>
      <c r="D60" s="116">
        <f>$B$5*365*$B$6/12</f>
        <v/>
      </c>
      <c r="E60" s="116">
        <f>$B$7*365*$B$8/12</f>
        <v/>
      </c>
      <c r="F60" s="116">
        <f>$B$9*365*$B$10/12</f>
        <v/>
      </c>
      <c r="G60" s="116">
        <f>(D60-$B$20-B60-$B$21*D60)*12</f>
        <v/>
      </c>
      <c r="H60" s="116">
        <f>(E60-$B$20-B60-$B$21*E60)*12</f>
        <v/>
      </c>
      <c r="I60" s="116">
        <f>(F60-$B$20-B60-$B$21*F60)*12</f>
        <v/>
      </c>
      <c r="J60" s="117">
        <f>IF(A60=0,0,G60/A60)</f>
        <v/>
      </c>
      <c r="K60" s="117">
        <f>IF(A60=0,0,H60/A60)</f>
        <v/>
      </c>
      <c r="L60" s="117">
        <f>IF(A60=0,0,I60/A60)</f>
        <v/>
      </c>
    </row>
    <row r="61">
      <c r="A61" s="116" t="n">
        <v>850000</v>
      </c>
      <c r="B61" s="116">
        <f>A61*$B$27/12</f>
        <v/>
      </c>
      <c r="C61" s="116">
        <f>-PMT($B$24/12,$B$25,A61*(1-$B$26))</f>
        <v/>
      </c>
      <c r="D61" s="116">
        <f>$B$5*365*$B$6/12</f>
        <v/>
      </c>
      <c r="E61" s="116">
        <f>$B$7*365*$B$8/12</f>
        <v/>
      </c>
      <c r="F61" s="116">
        <f>$B$9*365*$B$10/12</f>
        <v/>
      </c>
      <c r="G61" s="116">
        <f>(D61-$B$20-B61-$B$21*D61)*12</f>
        <v/>
      </c>
      <c r="H61" s="116">
        <f>(E61-$B$20-B61-$B$21*E61)*12</f>
        <v/>
      </c>
      <c r="I61" s="116">
        <f>(F61-$B$20-B61-$B$21*F61)*12</f>
        <v/>
      </c>
      <c r="J61" s="117">
        <f>IF(A61=0,0,G61/A61)</f>
        <v/>
      </c>
      <c r="K61" s="117">
        <f>IF(A61=0,0,H61/A61)</f>
        <v/>
      </c>
      <c r="L61" s="117">
        <f>IF(A61=0,0,I61/A61)</f>
        <v/>
      </c>
    </row>
    <row r="62">
      <c r="A62" s="116" t="n">
        <v>875000</v>
      </c>
      <c r="B62" s="116">
        <f>A62*$B$27/12</f>
        <v/>
      </c>
      <c r="C62" s="116">
        <f>-PMT($B$24/12,$B$25,A62*(1-$B$26))</f>
        <v/>
      </c>
      <c r="D62" s="116">
        <f>$B$5*365*$B$6/12</f>
        <v/>
      </c>
      <c r="E62" s="116">
        <f>$B$7*365*$B$8/12</f>
        <v/>
      </c>
      <c r="F62" s="116">
        <f>$B$9*365*$B$10/12</f>
        <v/>
      </c>
      <c r="G62" s="116">
        <f>(D62-$B$20-B62-$B$21*D62)*12</f>
        <v/>
      </c>
      <c r="H62" s="116">
        <f>(E62-$B$20-B62-$B$21*E62)*12</f>
        <v/>
      </c>
      <c r="I62" s="116">
        <f>(F62-$B$20-B62-$B$21*F62)*12</f>
        <v/>
      </c>
      <c r="J62" s="117">
        <f>IF(A62=0,0,G62/A62)</f>
        <v/>
      </c>
      <c r="K62" s="117">
        <f>IF(A62=0,0,H62/A62)</f>
        <v/>
      </c>
      <c r="L62" s="117">
        <f>IF(A62=0,0,I62/A62)</f>
        <v/>
      </c>
    </row>
    <row r="63">
      <c r="A63" s="116" t="n">
        <v>900000</v>
      </c>
      <c r="B63" s="116">
        <f>A63*$B$27/12</f>
        <v/>
      </c>
      <c r="C63" s="116">
        <f>-PMT($B$24/12,$B$25,A63*(1-$B$26))</f>
        <v/>
      </c>
      <c r="D63" s="116">
        <f>$B$5*365*$B$6/12</f>
        <v/>
      </c>
      <c r="E63" s="116">
        <f>$B$7*365*$B$8/12</f>
        <v/>
      </c>
      <c r="F63" s="116">
        <f>$B$9*365*$B$10/12</f>
        <v/>
      </c>
      <c r="G63" s="116">
        <f>(D63-$B$20-B63-$B$21*D63)*12</f>
        <v/>
      </c>
      <c r="H63" s="116">
        <f>(E63-$B$20-B63-$B$21*E63)*12</f>
        <v/>
      </c>
      <c r="I63" s="116">
        <f>(F63-$B$20-B63-$B$21*F63)*12</f>
        <v/>
      </c>
      <c r="J63" s="117">
        <f>IF(A63=0,0,G63/A63)</f>
        <v/>
      </c>
      <c r="K63" s="117">
        <f>IF(A63=0,0,H63/A63)</f>
        <v/>
      </c>
      <c r="L63" s="117">
        <f>IF(A63=0,0,I63/A63)</f>
        <v/>
      </c>
    </row>
    <row r="64">
      <c r="A64" s="116" t="n">
        <v>925000</v>
      </c>
      <c r="B64" s="116">
        <f>A64*$B$27/12</f>
        <v/>
      </c>
      <c r="C64" s="116">
        <f>-PMT($B$24/12,$B$25,A64*(1-$B$26))</f>
        <v/>
      </c>
      <c r="D64" s="116">
        <f>$B$5*365*$B$6/12</f>
        <v/>
      </c>
      <c r="E64" s="116">
        <f>$B$7*365*$B$8/12</f>
        <v/>
      </c>
      <c r="F64" s="116">
        <f>$B$9*365*$B$10/12</f>
        <v/>
      </c>
      <c r="G64" s="116">
        <f>(D64-$B$20-B64-$B$21*D64)*12</f>
        <v/>
      </c>
      <c r="H64" s="116">
        <f>(E64-$B$20-B64-$B$21*E64)*12</f>
        <v/>
      </c>
      <c r="I64" s="116">
        <f>(F64-$B$20-B64-$B$21*F64)*12</f>
        <v/>
      </c>
      <c r="J64" s="117">
        <f>IF(A64=0,0,G64/A64)</f>
        <v/>
      </c>
      <c r="K64" s="117">
        <f>IF(A64=0,0,H64/A64)</f>
        <v/>
      </c>
      <c r="L64" s="117">
        <f>IF(A64=0,0,I64/A64)</f>
        <v/>
      </c>
    </row>
    <row r="65">
      <c r="A65" s="116" t="n">
        <v>950000</v>
      </c>
      <c r="B65" s="116">
        <f>A65*$B$27/12</f>
        <v/>
      </c>
      <c r="C65" s="116">
        <f>-PMT($B$24/12,$B$25,A65*(1-$B$26))</f>
        <v/>
      </c>
      <c r="D65" s="116">
        <f>$B$5*365*$B$6/12</f>
        <v/>
      </c>
      <c r="E65" s="116">
        <f>$B$7*365*$B$8/12</f>
        <v/>
      </c>
      <c r="F65" s="116">
        <f>$B$9*365*$B$10/12</f>
        <v/>
      </c>
      <c r="G65" s="116">
        <f>(D65-$B$20-B65-$B$21*D65)*12</f>
        <v/>
      </c>
      <c r="H65" s="116">
        <f>(E65-$B$20-B65-$B$21*E65)*12</f>
        <v/>
      </c>
      <c r="I65" s="116">
        <f>(F65-$B$20-B65-$B$21*F65)*12</f>
        <v/>
      </c>
      <c r="J65" s="117">
        <f>IF(A65=0,0,G65/A65)</f>
        <v/>
      </c>
      <c r="K65" s="117">
        <f>IF(A65=0,0,H65/A65)</f>
        <v/>
      </c>
      <c r="L65" s="117">
        <f>IF(A65=0,0,I65/A65)</f>
        <v/>
      </c>
    </row>
    <row r="66">
      <c r="A66" s="116" t="n">
        <v>975000</v>
      </c>
      <c r="B66" s="116">
        <f>A66*$B$27/12</f>
        <v/>
      </c>
      <c r="C66" s="116">
        <f>-PMT($B$24/12,$B$25,A66*(1-$B$26))</f>
        <v/>
      </c>
      <c r="D66" s="116">
        <f>$B$5*365*$B$6/12</f>
        <v/>
      </c>
      <c r="E66" s="116">
        <f>$B$7*365*$B$8/12</f>
        <v/>
      </c>
      <c r="F66" s="116">
        <f>$B$9*365*$B$10/12</f>
        <v/>
      </c>
      <c r="G66" s="116">
        <f>(D66-$B$20-B66-$B$21*D66)*12</f>
        <v/>
      </c>
      <c r="H66" s="116">
        <f>(E66-$B$20-B66-$B$21*E66)*12</f>
        <v/>
      </c>
      <c r="I66" s="116">
        <f>(F66-$B$20-B66-$B$21*F66)*12</f>
        <v/>
      </c>
      <c r="J66" s="117">
        <f>IF(A66=0,0,G66/A66)</f>
        <v/>
      </c>
      <c r="K66" s="117">
        <f>IF(A66=0,0,H66/A66)</f>
        <v/>
      </c>
      <c r="L66" s="117">
        <f>IF(A66=0,0,I66/A66)</f>
        <v/>
      </c>
    </row>
    <row r="67">
      <c r="A67" s="116" t="n">
        <v>1000000</v>
      </c>
      <c r="B67" s="116">
        <f>A67*$B$27/12</f>
        <v/>
      </c>
      <c r="C67" s="116">
        <f>-PMT($B$24/12,$B$25,A67*(1-$B$26))</f>
        <v/>
      </c>
      <c r="D67" s="116">
        <f>$B$5*365*$B$6/12</f>
        <v/>
      </c>
      <c r="E67" s="116">
        <f>$B$7*365*$B$8/12</f>
        <v/>
      </c>
      <c r="F67" s="116">
        <f>$B$9*365*$B$10/12</f>
        <v/>
      </c>
      <c r="G67" s="116">
        <f>(D67-$B$20-B67-$B$21*D67)*12</f>
        <v/>
      </c>
      <c r="H67" s="116">
        <f>(E67-$B$20-B67-$B$21*E67)*12</f>
        <v/>
      </c>
      <c r="I67" s="116">
        <f>(F67-$B$20-B67-$B$21*F67)*12</f>
        <v/>
      </c>
      <c r="J67" s="117">
        <f>IF(A67=0,0,G67/A67)</f>
        <v/>
      </c>
      <c r="K67" s="117">
        <f>IF(A67=0,0,H67/A67)</f>
        <v/>
      </c>
      <c r="L67" s="117">
        <f>IF(A67=0,0,I67/A67)</f>
        <v/>
      </c>
    </row>
    <row r="69">
      <c r="A69" s="118" t="inlineStr">
        <is>
          <t>TARGET: Mid &amp; High Cap Rate &gt; 20%</t>
        </is>
      </c>
      <c r="B69" s="103" t="n"/>
      <c r="C69" s="103" t="n"/>
      <c r="D69" s="104" t="n"/>
    </row>
    <row r="71">
      <c r="A71" s="106" t="inlineStr">
        <is>
          <t>RECOMMENDED MAX OFFER PRICE (Cap Rate &gt;= 20%)</t>
        </is>
      </c>
      <c r="B71" s="103" t="n"/>
      <c r="C71" s="103" t="n"/>
      <c r="D71" s="103" t="n"/>
      <c r="E71" s="104" t="n"/>
    </row>
    <row r="72">
      <c r="A72" s="107" t="inlineStr">
        <is>
          <t>Target Cap Rate</t>
        </is>
      </c>
      <c r="B72" s="91" t="n">
        <v>0.2</v>
      </c>
    </row>
    <row r="73">
      <c r="A73" s="107" t="inlineStr">
        <is>
          <t>Max Price (Mid Scenario)</t>
        </is>
      </c>
      <c r="B73" s="119">
        <f>($B$7*365*$B$8*(1-$B$21)-$B$20*12)/($B$72+$B$27)</f>
        <v/>
      </c>
    </row>
    <row r="74">
      <c r="A74" s="107" t="inlineStr">
        <is>
          <t>Max Price (High Scenario)</t>
        </is>
      </c>
      <c r="B74" s="119">
        <f>($B$9*365*$B$10*(1-$B$21)-$B$20*12)/($B$72+$B$27)</f>
        <v/>
      </c>
    </row>
    <row r="75">
      <c r="A75" s="120" t="inlineStr">
        <is>
          <t>SUGGESTED OFFER (use lower of the two)</t>
        </is>
      </c>
      <c r="B75" s="121">
        <f>MIN(B73,B74)</f>
        <v/>
      </c>
    </row>
    <row r="77">
      <c r="A77" s="106" t="inlineStr">
        <is>
          <t>VERIFICATION AT SUGGESTED OFFER PRICE</t>
        </is>
      </c>
      <c r="B77" s="103" t="n"/>
      <c r="C77" s="103" t="n"/>
      <c r="D77" s="104" t="n"/>
    </row>
    <row r="78">
      <c r="A78" s="107" t="inlineStr">
        <is>
          <t>Mid Cap Rate at Suggested Price</t>
        </is>
      </c>
      <c r="B78" s="122">
        <f>($B$7*365*$B$8*(1-$B$21) - $B$20*12 - B75*$B$27) / B75</f>
        <v/>
      </c>
    </row>
    <row r="79">
      <c r="A79" s="107" t="inlineStr">
        <is>
          <t>High Cap Rate at Suggested Price</t>
        </is>
      </c>
      <c r="B79" s="122">
        <f>($B$9*365*$B$10*(1-$B$21) - $B$20*12 - B75*$B$27) / B75</f>
        <v/>
      </c>
    </row>
    <row r="80">
      <c r="A80" s="107" t="inlineStr">
        <is>
          <t>Monthly Mortgage at Suggested Price</t>
        </is>
      </c>
      <c r="B80" s="116">
        <f>-PMT($B$24/12,$B$25,B75*(1-$B$26))</f>
        <v/>
      </c>
    </row>
    <row r="81">
      <c r="A81" s="107" t="inlineStr">
        <is>
          <t>Total Money Invested (Down + Closing + Furnishing)</t>
        </is>
      </c>
      <c r="B81" s="116">
        <f>B75*$B$26 + B75*0.035</f>
        <v/>
      </c>
    </row>
  </sheetData>
  <mergeCells count="9">
    <mergeCell ref="A1:G1"/>
    <mergeCell ref="A77:D77"/>
    <mergeCell ref="A23:C23"/>
    <mergeCell ref="A69:D69"/>
    <mergeCell ref="A29:K29"/>
    <mergeCell ref="A71:E71"/>
    <mergeCell ref="A2:G2"/>
    <mergeCell ref="A12:C1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2026-04-09T20:56:40Z</dcterms:created>
  <dcterms:modified xsi:type="dcterms:W3CDTF">2026-04-09T20:56:40Z</dcterms:modified>
</cp:coreProperties>
</file>